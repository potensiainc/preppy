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f8a101006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1977dd92cd480f"/>
    <x:sheet xmlns:r="http://schemas.openxmlformats.org/officeDocument/2006/relationships" name="Institutions" sheetId="2" r:id="R272cb5808c704781"/>
    <x:sheet xmlns:r="http://schemas.openxmlformats.org/officeDocument/2006/relationships" name="Sources" sheetId="3" r:id="R5c312cfd583f4bff"/>
    <x:sheet xmlns:r="http://schemas.openxmlformats.org/officeDocument/2006/relationships" name="Excluded" sheetId="4" r:id="Ra3e0c48f06fb4b3f"/>
    <x:sheet xmlns:r="http://schemas.openxmlformats.org/officeDocument/2006/relationships" name="QA" sheetId="5" r:id="Ra233af2c5d244b32"/>
    <x:sheet xmlns:r="http://schemas.openxmlformats.org/officeDocument/2006/relationships" name="Enums" sheetId="6" r:id="R29645ea9d082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2538"/>
      </x:patternFill>
    </x:fill>
    <x:fill>
      <x:patternFill patternType="solid">
        <x:fgColor rgb="FF17324D"/>
      </x:patternFill>
    </x:fill>
    <x:fill>
      <x:patternFill patternType="solid">
        <x:fgColor rgb="FFDDE8F0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3" fillId="4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3" fillId="4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3" fillId="4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3" fillId="4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662ff75034f64" /><Relationship Type="http://schemas.openxmlformats.org/officeDocument/2006/relationships/theme" Target="/xl/theme/theme1.xml" Id="R5ffd35318e0f46c0" /><Relationship Type="http://schemas.microsoft.com/office/2022/11/relationships/FeaturePropertyBag" Target="/xl/featurePropertyBag/featurePropertyBag.xml" Id="R73072fdcca014114" /><Relationship Type="http://schemas.openxmlformats.org/officeDocument/2006/relationships/sharedStrings" Target="/xl/sharedStrings.xml" Id="R59063f8be8a148d0" /><Relationship Type="http://schemas.openxmlformats.org/officeDocument/2006/relationships/worksheet" Target="/xl/worksheets/sheet1.xml" Id="R251977dd92cd480f" /><Relationship Type="http://schemas.openxmlformats.org/officeDocument/2006/relationships/worksheet" Target="/xl/worksheets/sheet2.xml" Id="R272cb5808c704781" /><Relationship Type="http://schemas.openxmlformats.org/officeDocument/2006/relationships/worksheet" Target="/xl/worksheets/sheet3.xml" Id="R5c312cfd583f4bff" /><Relationship Type="http://schemas.openxmlformats.org/officeDocument/2006/relationships/worksheet" Target="/xl/worksheets/sheet4.xml" Id="Ra3e0c48f06fb4b3f" /><Relationship Type="http://schemas.openxmlformats.org/officeDocument/2006/relationships/worksheet" Target="/xl/worksheets/sheet5.xml" Id="Ra233af2c5d244b32" /><Relationship Type="http://schemas.openxmlformats.org/officeDocument/2006/relationships/worksheet" Target="/xl/worksheets/sheet6.xml" Id="R29645ea9d08244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stitutionsTable" displayName="InstitutionsTable" ref="A1:AL64" headerRowCount="1" totalsRowCount="0" totalsRowShown="0">
  <x:tableColumns count="38">
    <x:tableColumn id="1" name="seed_id"/>
    <x:tableColumn id="2" name="canonical_name_ko"/>
    <x:tableColumn id="3" name="canonical_name_en"/>
    <x:tableColumn id="4" name="institution_group_key"/>
    <x:tableColumn id="5" name="campus_name"/>
    <x:tableColumn id="6" name="slug"/>
    <x:tableColumn id="7" name="slug_status"/>
    <x:tableColumn id="8" name="institution_type"/>
    <x:tableColumn id="9" name="legal_category"/>
    <x:tableColumn id="10" name="province"/>
    <x:tableColumn id="11" name="city_district"/>
    <x:tableColumn id="12" name="address"/>
    <x:tableColumn id="13" name="grade_range_raw"/>
    <x:tableColumn id="14" name="offers_kindergarten"/>
    <x:tableColumn id="15" name="offers_elementary"/>
    <x:tableColumn id="16" name="offers_middle"/>
    <x:tableColumn id="17" name="offers_high"/>
    <x:tableColumn id="18" name="teaching_language_raw"/>
    <x:tableColumn id="19" name="teaching_language_normalized"/>
    <x:tableColumn id="20" name="official_website_url_raw"/>
    <x:tableColumn id="21" name="official_website_url_normalized"/>
    <x:tableColumn id="22" name="canonical_domain"/>
    <x:tableColumn id="23" name="registry_name"/>
    <x:tableColumn id="24" name="registry_external_id"/>
    <x:tableColumn id="25" name="registry_record_id_status"/>
    <x:tableColumn id="26" name="registry_record_url"/>
    <x:tableColumn id="27" name="registry_locator"/>
    <x:tableColumn id="28" name="operating_status"/>
    <x:tableColumn id="29" name="identity_verification_status"/>
    <x:tableColumn id="30" name="verified_at"/>
    <x:tableColumn id="31" name="url_http_status"/>
    <x:tableColumn id="32" name="url_last_checked_at"/>
    <x:tableColumn id="33" name="crawl_status"/>
    <x:tableColumn id="34" name="source_binding_status"/>
    <x:tableColumn id="35" name="publication_status"/>
    <x:tableColumn id="36" name="monitoring_priority"/>
    <x:tableColumn id="37" name="monitoring_cadence"/>
    <x:tableColumn id="3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1:L127" headerRowCount="1" totalsRowCount="0" totalsRowShown="0">
  <x:tableColumns count="12">
    <x:tableColumn id="1" name="source_id"/>
    <x:tableColumn id="2" name="seed_id"/>
    <x:tableColumn id="3" name="source_type"/>
    <x:tableColumn id="4" name="source_role"/>
    <x:tableColumn id="5" name="source_url"/>
    <x:tableColumn id="6" name="canonical_domain"/>
    <x:tableColumn id="7" name="official_status"/>
    <x:tableColumn id="8" name="binding_status"/>
    <x:tableColumn id="9" name="monitoring_cadence"/>
    <x:tableColumn id="10" name="fetch_status"/>
    <x:tableColumn id="11" name="last_verified_at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dedTable" displayName="ExcludedTable" ref="A1:L4" headerRowCount="1" totalsRowCount="0" totalsRowShown="0">
  <x:tableColumns count="12">
    <x:tableColumn id="1" name="registry"/>
    <x:tableColumn id="2" name="registry_external_id"/>
    <x:tableColumn id="3" name="canonical_name_ko"/>
    <x:tableColumn id="4" name="canonical_name_en"/>
    <x:tableColumn id="5" name="province"/>
    <x:tableColumn id="6" name="city_district"/>
    <x:tableColumn id="7" name="address"/>
    <x:tableColumn id="8" name="grade_range_raw"/>
    <x:tableColumn id="9" name="official_website_url"/>
    <x:tableColumn id="10" name="registry_record_url"/>
    <x:tableColumn id="11" name="exclusion_reason"/>
    <x:tableColumn id="12" name="verifi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14885634204b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8405afb1194a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3854d9dfd54fc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47" t="str">
        <x:v>PREPPY Institution Seed Dataset — Seoul/Gyeonggi v1.0.0</x:v>
      </x:c>
      <x:c r="B1" s="47"/>
      <x:c r="C1" s="47"/>
      <x:c r="D1" s="47"/>
      <x:c r="E1" s="47"/>
      <x:c r="F1" s="47"/>
      <x:c r="G1" s="47"/>
      <x:c r="H1" s="47"/>
    </x:row>
    <x:row r="2">
      <x:c r="A2" s="48"/>
      <x:c r="B2" s="48"/>
      <x:c r="C2" s="48"/>
      <x:c r="D2" s="48"/>
      <x:c r="E2" s="48"/>
      <x:c r="F2" s="48"/>
      <x:c r="G2" s="48"/>
      <x:c r="H2" s="48"/>
    </x:row>
    <x:row r="3">
      <x:c r="A3" s="26" t="str">
        <x:v>Metric</x:v>
      </x:c>
      <x:c r="B3" s="27" t="str">
        <x:v>Value</x:v>
      </x:c>
      <x:c r="C3" s="48"/>
      <x:c r="D3" s="26" t="str">
        <x:v>Dataset policy</x:v>
      </x:c>
      <x:c r="E3" s="38"/>
      <x:c r="F3" s="38"/>
      <x:c r="G3" s="38"/>
      <x:c r="H3" s="27"/>
    </x:row>
    <x:row r="4">
      <x:c r="A4" s="49" t="str">
        <x:v>Institutions total</x:v>
      </x:c>
      <x:c r="B4" s="50" t="n">
        <x:v>63</x:v>
      </x:c>
      <x:c r="C4" s="48"/>
      <x:c r="D4" s="49" t="str">
        <x:v>Publication default</x:v>
      </x:c>
      <x:c r="E4" s="48" t="str">
        <x:v>INTERNAL_ONLY</x:v>
      </x:c>
      <x:c r="F4" s="48" t="str">
        <x:v>The seed never publishes an Institution page.</x:v>
      </x:c>
      <x:c r="G4" s="48" t="str"/>
      <x:c r="H4" s="50" t="str"/>
    </x:row>
    <x:row r="5">
      <x:c r="A5" s="49" t="str">
        <x:v>Private elementary</x:v>
      </x:c>
      <x:c r="B5" s="50" t="n">
        <x:v>41</x:v>
      </x:c>
      <x:c r="C5" s="48"/>
      <x:c r="D5" s="49" t="str">
        <x:v>Crawl default</x:v>
      </x:c>
      <x:c r="E5" s="48" t="str">
        <x:v>NOT_STARTED</x:v>
      </x:c>
      <x:c r="F5" s="48" t="str">
        <x:v>Website URLs are registry roots, not successful fetches.</x:v>
      </x:c>
      <x:c r="G5" s="48" t="str"/>
      <x:c r="H5" s="50" t="str"/>
    </x:row>
    <x:row r="6">
      <x:c r="A6" s="49" t="str">
        <x:v>International school</x:v>
      </x:c>
      <x:c r="B6" s="50" t="n">
        <x:v>22</x:v>
      </x:c>
      <x:c r="C6" s="48"/>
      <x:c r="D6" s="49" t="str">
        <x:v>Slug status</x:v>
      </x:c>
      <x:c r="E6" s="48" t="str">
        <x:v>PROVISIONAL</x:v>
      </x:c>
      <x:c r="F6" s="48" t="str">
        <x:v>Do not treat seed slugs as final public SEO URLs.</x:v>
      </x:c>
      <x:c r="G6" s="48" t="str"/>
      <x:c r="H6" s="50" t="str"/>
    </x:row>
    <x:row r="7">
      <x:c r="A7" s="49" t="str">
        <x:v>Seoul</x:v>
      </x:c>
      <x:c r="B7" s="50" t="n">
        <x:v>54</x:v>
      </x:c>
      <x:c r="C7" s="48"/>
      <x:c r="D7" s="49" t="str">
        <x:v>Unknown policy</x:v>
      </x:c>
      <x:c r="E7" s="48" t="str">
        <x:v>PRESERVE</x:v>
      </x:c>
      <x:c r="F7" s="48" t="str">
        <x:v>No unsupported field is inferred or auto-filled.</x:v>
      </x:c>
      <x:c r="G7" s="48" t="str"/>
      <x:c r="H7" s="50" t="str"/>
    </x:row>
    <x:row r="8">
      <x:c r="A8" s="49" t="str">
        <x:v>Gyeonggi</x:v>
      </x:c>
      <x:c r="B8" s="50" t="n">
        <x:v>9</x:v>
      </x:c>
      <x:c r="C8" s="48"/>
      <x:c r="D8" s="51" t="str">
        <x:v>Import source of truth</x:v>
      </x:c>
      <x:c r="E8" s="52" t="str">
        <x:v>JSON</x:v>
      </x:c>
      <x:c r="F8" s="52" t="str">
        <x:v>XLSX is review-only; JSON contains Sources and exclusions.</x:v>
      </x:c>
      <x:c r="G8" s="52" t="str"/>
      <x:c r="H8" s="53" t="str"/>
    </x:row>
    <x:row r="9">
      <x:c r="A9" s="49" t="str">
        <x:v>Source bindings</x:v>
      </x:c>
      <x:c r="B9" s="50" t="n">
        <x:v>126</x:v>
      </x:c>
      <x:c r="C9" s="48"/>
      <x:c r="D9" s="48"/>
      <x:c r="E9" s="48"/>
      <x:c r="F9" s="48"/>
      <x:c r="G9" s="48"/>
      <x:c r="H9" s="48"/>
    </x:row>
    <x:row r="10">
      <x:c r="A10" s="49" t="str">
        <x:v>Excluded ISI records</x:v>
      </x:c>
      <x:c r="B10" s="50" t="n">
        <x:v>3</x:v>
      </x:c>
      <x:c r="C10" s="48"/>
      <x:c r="D10" s="48"/>
      <x:c r="E10" s="48"/>
      <x:c r="F10" s="48"/>
      <x:c r="G10" s="48"/>
      <x:c r="H10" s="48"/>
    </x:row>
    <x:row r="11">
      <x:c r="A11" s="49" t="str">
        <x:v>Pending SchoolInfo record IDs</x:v>
      </x:c>
      <x:c r="B11" s="50" t="n">
        <x:v>6</x:v>
      </x:c>
      <x:c r="C11" s="48"/>
      <x:c r="D11" s="48"/>
      <x:c r="E11" s="48"/>
      <x:c r="F11" s="48"/>
      <x:c r="G11" s="48"/>
      <x:c r="H11" s="48"/>
    </x:row>
    <x:row r="12">
      <x:c r="A12" s="51" t="str">
        <x:v>Verified at</x:v>
      </x:c>
      <x:c r="B12" s="53" t="str">
        <x:v>2026-08-27</x:v>
      </x:c>
      <x:c r="C12" s="48"/>
      <x:c r="D12" s="48"/>
      <x:c r="E12" s="48"/>
      <x:c r="F12" s="48"/>
      <x:c r="G12" s="48"/>
      <x:c r="H12" s="48"/>
    </x:row>
    <x:row r="13">
      <x:c r="A13" s="48"/>
      <x:c r="B13" s="48"/>
      <x:c r="C13" s="48"/>
      <x:c r="D13" s="48"/>
      <x:c r="E13" s="48"/>
      <x:c r="F13" s="48"/>
      <x:c r="G13" s="48"/>
      <x:c r="H13" s="48"/>
    </x:row>
    <x:row r="14">
      <x:c r="A14" s="48"/>
      <x:c r="B14" s="48"/>
      <x:c r="C14" s="48"/>
      <x:c r="D14" s="48"/>
      <x:c r="E14" s="48"/>
      <x:c r="F14" s="48"/>
      <x:c r="G14" s="48"/>
      <x:c r="H14" s="48"/>
    </x:row>
    <x:row r="15">
      <x:c r="A15" s="14" t="str">
        <x:v>Methodology</x:v>
      </x:c>
      <x:c r="B15" s="14"/>
      <x:c r="C15" s="14"/>
      <x:c r="D15" s="14"/>
      <x:c r="E15" s="14"/>
      <x:c r="F15" s="14"/>
      <x:c r="G15" s="14"/>
      <x:c r="H15" s="14"/>
    </x:row>
    <x:row r="16">
      <x:c r="A16" s="54" t="str">
        <x:v>Scope</x:v>
      </x:c>
      <x:c r="B16" s="55" t="str">
        <x:v>SchoolInfo private elementary coverage in Seoul/Gyeonggi; official ISI entries offering elementary courses.</x:v>
      </x:c>
      <x:c r="C16" s="48"/>
      <x:c r="D16" s="48"/>
      <x:c r="E16" s="48"/>
      <x:c r="F16" s="48"/>
      <x:c r="G16" s="48"/>
      <x:c r="H16" s="48"/>
    </x:row>
    <x:row r="17">
      <x:c r="A17" s="49" t="str">
        <x:v>Sources</x:v>
      </x:c>
      <x:c r="B17" s="50" t="str">
        <x:v>NEIS / SchoolInfo / ISI Seoul / ISI Gyeonggi; verified 2026-08-27.</x:v>
      </x:c>
      <x:c r="C17" s="48"/>
      <x:c r="D17" s="48"/>
      <x:c r="E17" s="48"/>
      <x:c r="F17" s="48"/>
      <x:c r="G17" s="48"/>
      <x:c r="H17" s="48"/>
    </x:row>
    <x:row r="18">
      <x:c r="A18" s="49" t="str">
        <x:v>Exclusions</x:v>
      </x:c>
      <x:c r="B18" s="50" t="str">
        <x:v>Kindergarten-only ISI institutions and a middle/high-only foreign school remain on Excluded.</x:v>
      </x:c>
      <x:c r="C18" s="48"/>
      <x:c r="D18" s="48"/>
      <x:c r="E18" s="48"/>
      <x:c r="F18" s="48"/>
      <x:c r="G18" s="48"/>
      <x:c r="H18" s="48"/>
    </x:row>
    <x:row r="19">
      <x:c r="A19" s="49" t="str">
        <x:v>Limitations</x:v>
      </x:c>
      <x:c r="B19" s="50" t="str">
        <x:v>URL reachability is not checked. Six SchoolInfo deep-link IDs remain pending and must not be guessed.</x:v>
      </x:c>
      <x:c r="C19" s="48"/>
      <x:c r="D19" s="48"/>
      <x:c r="E19" s="48"/>
      <x:c r="F19" s="48"/>
      <x:c r="G19" s="48"/>
      <x:c r="H19" s="48"/>
    </x:row>
    <x:row r="20">
      <x:c r="A20" s="51" t="str">
        <x:v>Next step</x:v>
      </x:c>
      <x:c r="B20" s="53" t="str">
        <x:v>Codex audits the repository, imports idempotently, binds Sources, and prepares collector handoff.</x:v>
      </x:c>
      <x:c r="C20" s="48"/>
      <x:c r="D20" s="48"/>
      <x:c r="E20" s="48"/>
      <x:c r="F20" s="48"/>
      <x:c r="G20" s="48"/>
      <x:c r="H20" s="48"/>
    </x:row>
    <x:row r="21">
      <x:c r="A21" s="48"/>
      <x:c r="B21" s="48"/>
      <x:c r="C21" s="48"/>
      <x:c r="D21" s="48"/>
      <x:c r="E21" s="48"/>
      <x:c r="F21" s="48"/>
      <x:c r="G21" s="48"/>
      <x:c r="H21" s="48"/>
    </x:row>
    <x:row r="22">
      <x:c r="A22" s="48"/>
      <x:c r="B22" s="48"/>
      <x:c r="C22" s="48"/>
      <x:c r="D22" s="48"/>
      <x:c r="E22" s="48"/>
      <x:c r="F22" s="48"/>
      <x:c r="G22" s="48"/>
      <x:c r="H22" s="48"/>
    </x:row>
    <x:row r="23">
      <x:c r="A23" s="48"/>
      <x:c r="B23" s="48"/>
      <x:c r="C23" s="48"/>
      <x:c r="D23" s="48"/>
      <x:c r="E23" s="48"/>
      <x:c r="F23" s="48"/>
      <x:c r="G23" s="48"/>
      <x:c r="H23" s="48"/>
    </x:row>
    <x:row r="24">
      <x:c r="A24" s="48"/>
      <x:c r="B24" s="48"/>
      <x:c r="C24" s="48"/>
      <x:c r="D24" s="48"/>
      <x:c r="E24" s="48"/>
      <x:c r="F24" s="48"/>
      <x:c r="G24" s="48"/>
      <x:c r="H24" s="48"/>
    </x:row>
  </x:sheetData>
  <x:mergeCells>
    <x:mergeCell ref="A1:H1"/>
    <x:mergeCell ref="D3:H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5" hidden="0" customWidth="1"/>
    <x:col min="3" max="3" width="36" hidden="0" customWidth="1"/>
    <x:col min="4" max="4" width="30" hidden="0" customWidth="1"/>
    <x:col min="5" max="5" width="18" hidden="0" customWidth="1"/>
    <x:col min="6" max="6" width="38" hidden="0" customWidth="1"/>
    <x:col min="7" max="7" width="16" hidden="0" customWidth="1"/>
    <x:col min="8" max="8" width="24" hidden="0" customWidth="1"/>
    <x:col min="9" max="9" width="30" hidden="0" customWidth="1"/>
    <x:col min="10" max="10" width="14" hidden="0" customWidth="1"/>
    <x:col min="11" max="11" width="20" hidden="0" customWidth="1"/>
    <x:col min="12" max="12" width="42" hidden="0" customWidth="1"/>
    <x:col min="13" max="13" width="24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30" hidden="0" customWidth="1"/>
    <x:col min="19" max="19" width="30" hidden="0" customWidth="1"/>
    <x:col min="20" max="20" width="38" hidden="0" customWidth="1"/>
    <x:col min="21" max="21" width="42" hidden="0" customWidth="1"/>
    <x:col min="22" max="22" width="28" hidden="0" customWidth="1"/>
    <x:col min="23" max="23" width="16" hidden="0" customWidth="1"/>
    <x:col min="24" max="24" width="38" hidden="0" customWidth="1"/>
    <x:col min="25" max="25" width="18" hidden="0" customWidth="1"/>
    <x:col min="26" max="26" width="48" hidden="0" customWidth="1"/>
    <x:col min="27" max="27" width="42" hidden="0" customWidth="1"/>
    <x:col min="28" max="28" width="16" hidden="0" customWidth="1"/>
    <x:col min="29" max="29" width="40" hidden="0" customWidth="1"/>
    <x:col min="30" max="30" width="14" hidden="0" customWidth="1"/>
    <x:col min="31" max="31" width="18" hidden="0" customWidth="1"/>
    <x:col min="32" max="32" width="18" hidden="0" customWidth="1"/>
    <x:col min="33" max="33" width="18" hidden="0" customWidth="1"/>
    <x:col min="34" max="34" width="22" hidden="0" customWidth="1"/>
    <x:col min="35" max="35" width="18" hidden="0" customWidth="1"/>
    <x:col min="36" max="36" width="17" hidden="0" customWidth="1"/>
    <x:col min="37" max="37" width="22" hidden="0" customWidth="1"/>
    <x:col min="38" max="38" width="55" hidden="0" customWidth="1"/>
  </x:cols>
  <x:sheetData>
    <x:row r="1">
      <x:c r="A1" s="14" t="str">
        <x:v>seed_id</x:v>
      </x:c>
      <x:c r="B1" s="14" t="str">
        <x:v>canonical_name_ko</x:v>
      </x:c>
      <x:c r="C1" s="14" t="str">
        <x:v>canonical_name_en</x:v>
      </x:c>
      <x:c r="D1" s="14" t="str">
        <x:v>institution_group_key</x:v>
      </x:c>
      <x:c r="E1" s="14" t="str">
        <x:v>campus_name</x:v>
      </x:c>
      <x:c r="F1" s="14" t="str">
        <x:v>slug</x:v>
      </x:c>
      <x:c r="G1" s="14" t="str">
        <x:v>slug_status</x:v>
      </x:c>
      <x:c r="H1" s="14" t="str">
        <x:v>institution_type</x:v>
      </x:c>
      <x:c r="I1" s="14" t="str">
        <x:v>legal_category</x:v>
      </x:c>
      <x:c r="J1" s="14" t="str">
        <x:v>province</x:v>
      </x:c>
      <x:c r="K1" s="14" t="str">
        <x:v>city_district</x:v>
      </x:c>
      <x:c r="L1" s="14" t="str">
        <x:v>address</x:v>
      </x:c>
      <x:c r="M1" s="14" t="str">
        <x:v>grade_range_raw</x:v>
      </x:c>
      <x:c r="N1" s="14" t="str">
        <x:v>offers_kindergarten</x:v>
      </x:c>
      <x:c r="O1" s="14" t="str">
        <x:v>offers_elementary</x:v>
      </x:c>
      <x:c r="P1" s="14" t="str">
        <x:v>offers_middle</x:v>
      </x:c>
      <x:c r="Q1" s="14" t="str">
        <x:v>offers_high</x:v>
      </x:c>
      <x:c r="R1" s="14" t="str">
        <x:v>teaching_language_raw</x:v>
      </x:c>
      <x:c r="S1" s="14" t="str">
        <x:v>teaching_language_normalized</x:v>
      </x:c>
      <x:c r="T1" s="14" t="str">
        <x:v>official_website_url_raw</x:v>
      </x:c>
      <x:c r="U1" s="14" t="str">
        <x:v>official_website_url_normalized</x:v>
      </x:c>
      <x:c r="V1" s="14" t="str">
        <x:v>canonical_domain</x:v>
      </x:c>
      <x:c r="W1" s="14" t="str">
        <x:v>registry_name</x:v>
      </x:c>
      <x:c r="X1" s="14" t="str">
        <x:v>registry_external_id</x:v>
      </x:c>
      <x:c r="Y1" s="14" t="str">
        <x:v>registry_record_id_status</x:v>
      </x:c>
      <x:c r="Z1" s="14" t="str">
        <x:v>registry_record_url</x:v>
      </x:c>
      <x:c r="AA1" s="14" t="str">
        <x:v>registry_locator</x:v>
      </x:c>
      <x:c r="AB1" s="14" t="str">
        <x:v>operating_status</x:v>
      </x:c>
      <x:c r="AC1" s="14" t="str">
        <x:v>identity_verification_status</x:v>
      </x:c>
      <x:c r="AD1" s="14" t="str">
        <x:v>verified_at</x:v>
      </x:c>
      <x:c r="AE1" s="14" t="str">
        <x:v>url_http_status</x:v>
      </x:c>
      <x:c r="AF1" s="14" t="str">
        <x:v>url_last_checked_at</x:v>
      </x:c>
      <x:c r="AG1" s="14" t="str">
        <x:v>crawl_status</x:v>
      </x:c>
      <x:c r="AH1" s="14" t="str">
        <x:v>source_binding_status</x:v>
      </x:c>
      <x:c r="AI1" s="14" t="str">
        <x:v>publication_status</x:v>
      </x:c>
      <x:c r="AJ1" s="14" t="str">
        <x:v>monitoring_priority</x:v>
      </x:c>
      <x:c r="AK1" s="14" t="str">
        <x:v>monitoring_cadence</x:v>
      </x:c>
      <x:c r="AL1" s="14" t="str">
        <x:v>notes</x:v>
      </x:c>
    </x:row>
    <x:row r="2">
      <x:c r="A2" s="80" t="str">
        <x:v>schoolinfo:a1cf72d2-76ab-4aac-a16c-0e9c9fd912b5</x:v>
      </x:c>
      <x:c r="B2" s="81" t="str">
        <x:v>심석초등학교</x:v>
      </x:c>
      <x:c r="C2" s="81" t="str"/>
      <x:c r="D2" s="81" t="str"/>
      <x:c r="E2" s="81" t="str"/>
      <x:c r="F2" s="81" t="str">
        <x:v>simseok-e</x:v>
      </x:c>
      <x:c r="G2" s="81" t="str">
        <x:v>PROVISIONAL</x:v>
      </x:c>
      <x:c r="H2" s="81" t="str">
        <x:v>PRIVATE_ELEMENTARY</x:v>
      </x:c>
      <x:c r="I2" s="81" t="str">
        <x:v>PRIVATE_ELEMENTARY_SCHOOL</x:v>
      </x:c>
      <x:c r="J2" s="81" t="str">
        <x:v>경기도</x:v>
      </x:c>
      <x:c r="K2" s="81" t="str">
        <x:v>남양주시</x:v>
      </x:c>
      <x:c r="L2" s="81" t="str">
        <x:v>경기도 남양주시 화도읍 마석로76번길 10</x:v>
      </x:c>
      <x:c r="M2" s="81" t="str">
        <x:v>초등학교(1–6)</x:v>
      </x:c>
      <x:c r="N2" s="94" t="b">
        <x:v>0</x:v>
      </x:c>
      <x:c r="O2" s="94" t="b">
        <x:v>1</x:v>
      </x:c>
      <x:c r="P2" s="94" t="b">
        <x:v>0</x:v>
      </x:c>
      <x:c r="Q2" s="94" t="b">
        <x:v>0</x:v>
      </x:c>
      <x:c r="R2" s="81" t="str"/>
      <x:c r="S2" s="81" t="str"/>
      <x:c r="T2" s="81" t="str">
        <x:v>https://simseok-e.goegn.kr/simseok-e/main.do</x:v>
      </x:c>
      <x:c r="U2" s="81" t="str">
        <x:v>https://simseok-e.goegn.kr/simseok-e/main.do</x:v>
      </x:c>
      <x:c r="V2" s="81" t="str">
        <x:v>simseok-e.goegn.kr</x:v>
      </x:c>
      <x:c r="W2" s="81" t="str">
        <x:v>SCHOOLINFO</x:v>
      </x:c>
      <x:c r="X2" s="81" t="str">
        <x:v>a1cf72d2-76ab-4aac-a16c-0e9c9fd912b5</x:v>
      </x:c>
      <x:c r="Y2" s="81" t="str">
        <x:v>RESOLVED</x:v>
      </x:c>
      <x:c r="Z2" s="81" t="str">
        <x:v>https://www.schoolinfo.go.kr/ei/ss/Pneiss_b01_s0.do?SHL_IDF_CD=a1cf72d2-76ab-4aac-a16c-0e9c9fd912b5</x:v>
      </x:c>
      <x:c r="AA2" s="81" t="str">
        <x:v>심석초등학교 | 경기도 남양주시 화도읍 마석로76번길 10</x:v>
      </x:c>
      <x:c r="AB2" s="81" t="str">
        <x:v>ACTIVE</x:v>
      </x:c>
      <x:c r="AC2" s="81" t="str">
        <x:v>VERIFIED_OFFICIAL_REGISTRY</x:v>
      </x:c>
      <x:c r="AD2" s="100" t="str">
        <x:v>2026-08-27</x:v>
      </x:c>
      <x:c r="AE2" s="100" t="str">
        <x:v>NOT_CHECKED</x:v>
      </x:c>
      <x:c r="AF2" s="100" t="str"/>
      <x:c r="AG2" s="100" t="str">
        <x:v>NOT_STARTED</x:v>
      </x:c>
      <x:c r="AH2" s="100" t="str">
        <x:v>SEEDED</x:v>
      </x:c>
      <x:c r="AI2" s="100" t="str">
        <x:v>INTERNAL_ONLY</x:v>
      </x:c>
      <x:c r="AJ2" s="100" t="str">
        <x:v>P1</x:v>
      </x:c>
      <x:c r="AK2" s="100" t="str">
        <x:v>SEASONAL_WEEKLY</x:v>
      </x:c>
      <x:c r="AL2" s="55" t="str"/>
    </x:row>
    <x:row r="3">
      <x:c r="A3" s="83" t="str">
        <x:v>schoolinfo:e00428f1-d7a0-42ca-8729-354954c39bf7</x:v>
      </x:c>
      <x:c r="B3" s="48" t="str">
        <x:v>소화초등학교</x:v>
      </x:c>
      <x:c r="C3" s="48" t="str"/>
      <x:c r="D3" s="48" t="str"/>
      <x:c r="E3" s="48" t="str"/>
      <x:c r="F3" s="48" t="str">
        <x:v>sohwa-e</x:v>
      </x:c>
      <x:c r="G3" s="48" t="str">
        <x:v>PROVISIONAL</x:v>
      </x:c>
      <x:c r="H3" s="48" t="str">
        <x:v>PRIVATE_ELEMENTARY</x:v>
      </x:c>
      <x:c r="I3" s="48" t="str">
        <x:v>PRIVATE_ELEMENTARY_SCHOOL</x:v>
      </x:c>
      <x:c r="J3" s="48" t="str">
        <x:v>경기도</x:v>
      </x:c>
      <x:c r="K3" s="48" t="str">
        <x:v>수원시 영통구</x:v>
      </x:c>
      <x:c r="L3" s="48" t="str">
        <x:v>경기도 수원시 영통구 광교중앙로 30</x:v>
      </x:c>
      <x:c r="M3" s="48" t="str">
        <x:v>초등학교(1–6)</x:v>
      </x:c>
      <x:c r="N3" s="95" t="b">
        <x:v>0</x:v>
      </x:c>
      <x:c r="O3" s="95" t="b">
        <x:v>1</x:v>
      </x:c>
      <x:c r="P3" s="95" t="b">
        <x:v>0</x:v>
      </x:c>
      <x:c r="Q3" s="95" t="b">
        <x:v>0</x:v>
      </x:c>
      <x:c r="R3" s="48" t="str"/>
      <x:c r="S3" s="48" t="str"/>
      <x:c r="T3" s="48" t="str">
        <x:v>http://sohwa-e.goesw.kr</x:v>
      </x:c>
      <x:c r="U3" s="48" t="str">
        <x:v>http://sohwa-e.goesw.kr</x:v>
      </x:c>
      <x:c r="V3" s="48" t="str">
        <x:v>sohwa-e.goesw.kr</x:v>
      </x:c>
      <x:c r="W3" s="48" t="str">
        <x:v>SCHOOLINFO</x:v>
      </x:c>
      <x:c r="X3" s="48" t="str">
        <x:v>e00428f1-d7a0-42ca-8729-354954c39bf7</x:v>
      </x:c>
      <x:c r="Y3" s="48" t="str">
        <x:v>RESOLVED</x:v>
      </x:c>
      <x:c r="Z3" s="48" t="str">
        <x:v>https://www.schoolinfo.go.kr/ei/ss/Pneiss_b01_s0.do?SHL_IDF_CD=e00428f1-d7a0-42ca-8729-354954c39bf7</x:v>
      </x:c>
      <x:c r="AA3" s="48" t="str">
        <x:v>소화초등학교 | 경기도 수원시 영통구 광교중앙로 30</x:v>
      </x:c>
      <x:c r="AB3" s="48" t="str">
        <x:v>ACTIVE</x:v>
      </x:c>
      <x:c r="AC3" s="48" t="str">
        <x:v>VERIFIED_OFFICIAL_REGISTRY</x:v>
      </x:c>
      <x:c r="AD3" s="101" t="str">
        <x:v>2026-08-27</x:v>
      </x:c>
      <x:c r="AE3" s="101" t="str">
        <x:v>NOT_CHECKED</x:v>
      </x:c>
      <x:c r="AF3" s="101" t="str"/>
      <x:c r="AG3" s="101" t="str">
        <x:v>NOT_STARTED</x:v>
      </x:c>
      <x:c r="AH3" s="101" t="str">
        <x:v>SEEDED</x:v>
      </x:c>
      <x:c r="AI3" s="101" t="str">
        <x:v>INTERNAL_ONLY</x:v>
      </x:c>
      <x:c r="AJ3" s="101" t="str">
        <x:v>P1</x:v>
      </x:c>
      <x:c r="AK3" s="101" t="str">
        <x:v>SEASONAL_WEEKLY</x:v>
      </x:c>
      <x:c r="AL3" s="50" t="str"/>
    </x:row>
    <x:row r="4">
      <x:c r="A4" s="83" t="str">
        <x:v>schoolinfo:324e6d3c-8101-4a06-bbca-457b7de5aab2</x:v>
      </x:c>
      <x:c r="B4" s="48" t="str">
        <x:v>중앙기독초등학교</x:v>
      </x:c>
      <x:c r="C4" s="48" t="str"/>
      <x:c r="D4" s="48" t="str"/>
      <x:c r="E4" s="48" t="str"/>
      <x:c r="F4" s="48" t="str">
        <x:v>suwoncca</x:v>
      </x:c>
      <x:c r="G4" s="48" t="str">
        <x:v>PROVISIONAL</x:v>
      </x:c>
      <x:c r="H4" s="48" t="str">
        <x:v>PRIVATE_ELEMENTARY</x:v>
      </x:c>
      <x:c r="I4" s="48" t="str">
        <x:v>PRIVATE_ELEMENTARY_SCHOOL</x:v>
      </x:c>
      <x:c r="J4" s="48" t="str">
        <x:v>경기도</x:v>
      </x:c>
      <x:c r="K4" s="48" t="str">
        <x:v>수원시 영통구</x:v>
      </x:c>
      <x:c r="L4" s="48" t="str">
        <x:v>경기도 수원시 영통구 월드컵로 70</x:v>
      </x:c>
      <x:c r="M4" s="48" t="str">
        <x:v>초등학교(1–6)</x:v>
      </x:c>
      <x:c r="N4" s="95" t="b">
        <x:v>0</x:v>
      </x:c>
      <x:c r="O4" s="95" t="b">
        <x:v>1</x:v>
      </x:c>
      <x:c r="P4" s="95" t="b">
        <x:v>0</x:v>
      </x:c>
      <x:c r="Q4" s="95" t="b">
        <x:v>0</x:v>
      </x:c>
      <x:c r="R4" s="48" t="str"/>
      <x:c r="S4" s="48" t="str"/>
      <x:c r="T4" s="48" t="str">
        <x:v>www.suwoncca.org</x:v>
      </x:c>
      <x:c r="U4" s="48" t="str">
        <x:v>http://www.suwoncca.org</x:v>
      </x:c>
      <x:c r="V4" s="48" t="str">
        <x:v>suwoncca.org</x:v>
      </x:c>
      <x:c r="W4" s="48" t="str">
        <x:v>SCHOOLINFO</x:v>
      </x:c>
      <x:c r="X4" s="48" t="str">
        <x:v>324e6d3c-8101-4a06-bbca-457b7de5aab2</x:v>
      </x:c>
      <x:c r="Y4" s="48" t="str">
        <x:v>RESOLVED</x:v>
      </x:c>
      <x:c r="Z4" s="48" t="str">
        <x:v>https://www.schoolinfo.go.kr/ei/ss/Pneiss_b01_s0.do?SHL_IDF_CD=324e6d3c-8101-4a06-bbca-457b7de5aab2</x:v>
      </x:c>
      <x:c r="AA4" s="48" t="str">
        <x:v>중앙기독초등학교 | 경기도 수원시 영통구 월드컵로 70</x:v>
      </x:c>
      <x:c r="AB4" s="48" t="str">
        <x:v>ACTIVE</x:v>
      </x:c>
      <x:c r="AC4" s="48" t="str">
        <x:v>VERIFIED_OFFICIAL_REGISTRY</x:v>
      </x:c>
      <x:c r="AD4" s="101" t="str">
        <x:v>2026-08-27</x:v>
      </x:c>
      <x:c r="AE4" s="101" t="str">
        <x:v>NOT_CHECKED</x:v>
      </x:c>
      <x:c r="AF4" s="101" t="str"/>
      <x:c r="AG4" s="101" t="str">
        <x:v>NOT_STARTED</x:v>
      </x:c>
      <x:c r="AH4" s="101" t="str">
        <x:v>SEEDED</x:v>
      </x:c>
      <x:c r="AI4" s="101" t="str">
        <x:v>INTERNAL_ONLY</x:v>
      </x:c>
      <x:c r="AJ4" s="101" t="str">
        <x:v>P1</x:v>
      </x:c>
      <x:c r="AK4" s="101" t="str">
        <x:v>SEASONAL_WEEKLY</x:v>
      </x:c>
      <x:c r="AL4" s="50" t="str"/>
    </x:row>
    <x:row r="5">
      <x:c r="A5" s="83" t="str">
        <x:v>schoolinfo:552149de-4c96-4160-a462-52fd4e970818</x:v>
      </x:c>
      <x:c r="B5" s="48" t="str">
        <x:v>영훈초등학교</x:v>
      </x:c>
      <x:c r="C5" s="48" t="str"/>
      <x:c r="D5" s="48" t="str"/>
      <x:c r="E5" s="48" t="str"/>
      <x:c r="F5" s="48" t="str">
        <x:v>younghoon</x:v>
      </x:c>
      <x:c r="G5" s="48" t="str">
        <x:v>PROVISIONAL</x:v>
      </x:c>
      <x:c r="H5" s="48" t="str">
        <x:v>PRIVATE_ELEMENTARY</x:v>
      </x:c>
      <x:c r="I5" s="48" t="str">
        <x:v>PRIVATE_ELEMENTARY_SCHOOL</x:v>
      </x:c>
      <x:c r="J5" s="48" t="str">
        <x:v>서울특별시</x:v>
      </x:c>
      <x:c r="K5" s="48" t="str">
        <x:v>강북구</x:v>
      </x:c>
      <x:c r="L5" s="48" t="str">
        <x:v>서울특별시 강북구 도봉로13가길 19</x:v>
      </x:c>
      <x:c r="M5" s="48" t="str">
        <x:v>초등학교(1–6)</x:v>
      </x:c>
      <x:c r="N5" s="95" t="b">
        <x:v>0</x:v>
      </x:c>
      <x:c r="O5" s="95" t="b">
        <x:v>1</x:v>
      </x:c>
      <x:c r="P5" s="95" t="b">
        <x:v>0</x:v>
      </x:c>
      <x:c r="Q5" s="95" t="b">
        <x:v>0</x:v>
      </x:c>
      <x:c r="R5" s="48" t="str"/>
      <x:c r="S5" s="48" t="str"/>
      <x:c r="T5" s="48" t="str">
        <x:v>http://www.younghoon.es.kr</x:v>
      </x:c>
      <x:c r="U5" s="48" t="str">
        <x:v>http://www.younghoon.es.kr</x:v>
      </x:c>
      <x:c r="V5" s="48" t="str">
        <x:v>younghoon.es.kr</x:v>
      </x:c>
      <x:c r="W5" s="48" t="str">
        <x:v>SCHOOLINFO</x:v>
      </x:c>
      <x:c r="X5" s="48" t="str">
        <x:v>552149de-4c96-4160-a462-52fd4e970818</x:v>
      </x:c>
      <x:c r="Y5" s="48" t="str">
        <x:v>RESOLVED</x:v>
      </x:c>
      <x:c r="Z5" s="48" t="str">
        <x:v>https://www.schoolinfo.go.kr/ei/ss/Pneiss_b01_s0.do?SHL_IDF_CD=552149de-4c96-4160-a462-52fd4e970818</x:v>
      </x:c>
      <x:c r="AA5" s="48" t="str">
        <x:v>영훈초등학교 | 서울특별시 강북구 도봉로13가길 19</x:v>
      </x:c>
      <x:c r="AB5" s="48" t="str">
        <x:v>ACTIVE</x:v>
      </x:c>
      <x:c r="AC5" s="48" t="str">
        <x:v>VERIFIED_OFFICIAL_REGISTRY</x:v>
      </x:c>
      <x:c r="AD5" s="101" t="str">
        <x:v>2026-08-27</x:v>
      </x:c>
      <x:c r="AE5" s="101" t="str">
        <x:v>NOT_CHECKED</x:v>
      </x:c>
      <x:c r="AF5" s="101" t="str"/>
      <x:c r="AG5" s="101" t="str">
        <x:v>NOT_STARTED</x:v>
      </x:c>
      <x:c r="AH5" s="101" t="str">
        <x:v>SEEDED</x:v>
      </x:c>
      <x:c r="AI5" s="101" t="str">
        <x:v>INTERNAL_ONLY</x:v>
      </x:c>
      <x:c r="AJ5" s="101" t="str">
        <x:v>P1</x:v>
      </x:c>
      <x:c r="AK5" s="101" t="str">
        <x:v>SEASONAL_WEEKLY</x:v>
      </x:c>
      <x:c r="AL5" s="50" t="str"/>
    </x:row>
    <x:row r="6">
      <x:c r="A6" s="83" t="str">
        <x:v>schoolinfo-pending:yooseok.sen.es.kr</x:v>
      </x:c>
      <x:c r="B6" s="48" t="str">
        <x:v>유석초등학교</x:v>
      </x:c>
      <x:c r="C6" s="48" t="str"/>
      <x:c r="D6" s="48" t="str"/>
      <x:c r="E6" s="48" t="str"/>
      <x:c r="F6" s="48" t="str">
        <x:v>yooseok</x:v>
      </x:c>
      <x:c r="G6" s="48" t="str">
        <x:v>PROVISIONAL</x:v>
      </x:c>
      <x:c r="H6" s="48" t="str">
        <x:v>PRIVATE_ELEMENTARY</x:v>
      </x:c>
      <x:c r="I6" s="48" t="str">
        <x:v>PRIVATE_ELEMENTARY_SCHOOL</x:v>
      </x:c>
      <x:c r="J6" s="48" t="str">
        <x:v>서울특별시</x:v>
      </x:c>
      <x:c r="K6" s="48" t="str">
        <x:v>강서구</x:v>
      </x:c>
      <x:c r="L6" s="48" t="str">
        <x:v>서울특별시 강서구 화곡로69길 9</x:v>
      </x:c>
      <x:c r="M6" s="48" t="str">
        <x:v>초등학교(1–6)</x:v>
      </x:c>
      <x:c r="N6" s="95" t="b">
        <x:v>0</x:v>
      </x:c>
      <x:c r="O6" s="95" t="b">
        <x:v>1</x:v>
      </x:c>
      <x:c r="P6" s="95" t="b">
        <x:v>0</x:v>
      </x:c>
      <x:c r="Q6" s="95" t="b">
        <x:v>0</x:v>
      </x:c>
      <x:c r="R6" s="48" t="str"/>
      <x:c r="S6" s="48" t="str"/>
      <x:c r="T6" s="48" t="str">
        <x:v>http://yooseok.sen.es.kr</x:v>
      </x:c>
      <x:c r="U6" s="48" t="str">
        <x:v>http://yooseok.sen.es.kr</x:v>
      </x:c>
      <x:c r="V6" s="48" t="str">
        <x:v>yooseok.sen.es.kr</x:v>
      </x:c>
      <x:c r="W6" s="48" t="str">
        <x:v>SCHOOLINFO</x:v>
      </x:c>
      <x:c r="X6" s="48" t="str"/>
      <x:c r="Y6" s="48" t="str">
        <x:v>PENDING</x:v>
      </x:c>
      <x:c r="Z6" s="48" t="str">
        <x:v>https://www.schoolinfo.go.kr/</x:v>
      </x:c>
      <x:c r="AA6" s="48" t="str">
        <x:v>유석초등학교 | 서울특별시 강서구 화곡로69길 9</x:v>
      </x:c>
      <x:c r="AB6" s="48" t="str">
        <x:v>ACTIVE</x:v>
      </x:c>
      <x:c r="AC6" s="48" t="str">
        <x:v>VERIFIED_REGISTRY_LIST_RECORD_ID_PENDING</x:v>
      </x:c>
      <x:c r="AD6" s="101" t="str">
        <x:v>2026-08-27</x:v>
      </x:c>
      <x:c r="AE6" s="101" t="str">
        <x:v>NOT_CHECKED</x:v>
      </x:c>
      <x:c r="AF6" s="101" t="str"/>
      <x:c r="AG6" s="101" t="str">
        <x:v>NOT_STARTED</x:v>
      </x:c>
      <x:c r="AH6" s="101" t="str">
        <x:v>SEEDED</x:v>
      </x:c>
      <x:c r="AI6" s="101" t="str">
        <x:v>INTERNAL_ONLY</x:v>
      </x:c>
      <x:c r="AJ6" s="101" t="str">
        <x:v>P1</x:v>
      </x:c>
      <x:c r="AK6" s="101" t="str">
        <x:v>SEASONAL_WEEKLY</x:v>
      </x:c>
      <x:c r="AL6" s="50" t="str">
        <x:v>SchoolInfo deep-link UUID must be reconciled before production import.</x:v>
      </x:c>
    </x:row>
    <x:row r="7">
      <x:c r="A7" s="83" t="str">
        <x:v>schoolinfo:cbc4749a-ebaa-4e21-a164-ee341251c615</x:v>
      </x:c>
      <x:c r="B7" s="48" t="str">
        <x:v>경복초등학교</x:v>
      </x:c>
      <x:c r="C7" s="48" t="str"/>
      <x:c r="D7" s="48" t="str"/>
      <x:c r="E7" s="48" t="str"/>
      <x:c r="F7" s="48" t="str">
        <x:v>kbes</x:v>
      </x:c>
      <x:c r="G7" s="48" t="str">
        <x:v>PROVISIONAL</x:v>
      </x:c>
      <x:c r="H7" s="48" t="str">
        <x:v>PRIVATE_ELEMENTARY</x:v>
      </x:c>
      <x:c r="I7" s="48" t="str">
        <x:v>PRIVATE_ELEMENTARY_SCHOOL</x:v>
      </x:c>
      <x:c r="J7" s="48" t="str">
        <x:v>서울특별시</x:v>
      </x:c>
      <x:c r="K7" s="48" t="str">
        <x:v>광진구</x:v>
      </x:c>
      <x:c r="L7" s="48" t="str">
        <x:v>서울특별시 광진구 천호대로130길 58</x:v>
      </x:c>
      <x:c r="M7" s="48" t="str">
        <x:v>초등학교(1–6)</x:v>
      </x:c>
      <x:c r="N7" s="95" t="b">
        <x:v>0</x:v>
      </x:c>
      <x:c r="O7" s="95" t="b">
        <x:v>1</x:v>
      </x:c>
      <x:c r="P7" s="95" t="b">
        <x:v>0</x:v>
      </x:c>
      <x:c r="Q7" s="95" t="b">
        <x:v>0</x:v>
      </x:c>
      <x:c r="R7" s="48" t="str"/>
      <x:c r="S7" s="48" t="str"/>
      <x:c r="T7" s="48" t="str">
        <x:v>http://www.kbes.kr</x:v>
      </x:c>
      <x:c r="U7" s="48" t="str">
        <x:v>http://www.kbes.kr</x:v>
      </x:c>
      <x:c r="V7" s="48" t="str">
        <x:v>kbes.kr</x:v>
      </x:c>
      <x:c r="W7" s="48" t="str">
        <x:v>SCHOOLINFO</x:v>
      </x:c>
      <x:c r="X7" s="48" t="str">
        <x:v>cbc4749a-ebaa-4e21-a164-ee341251c615</x:v>
      </x:c>
      <x:c r="Y7" s="48" t="str">
        <x:v>RESOLVED</x:v>
      </x:c>
      <x:c r="Z7" s="48" t="str">
        <x:v>https://www.schoolinfo.go.kr/ei/ss/Pneiss_b01_s0.do?SHL_IDF_CD=cbc4749a-ebaa-4e21-a164-ee341251c615</x:v>
      </x:c>
      <x:c r="AA7" s="48" t="str">
        <x:v>경복초등학교 | 서울특별시 광진구 천호대로130길 58</x:v>
      </x:c>
      <x:c r="AB7" s="48" t="str">
        <x:v>ACTIVE</x:v>
      </x:c>
      <x:c r="AC7" s="48" t="str">
        <x:v>VERIFIED_OFFICIAL_REGISTRY</x:v>
      </x:c>
      <x:c r="AD7" s="101" t="str">
        <x:v>2026-08-27</x:v>
      </x:c>
      <x:c r="AE7" s="101" t="str">
        <x:v>NOT_CHECKED</x:v>
      </x:c>
      <x:c r="AF7" s="101" t="str"/>
      <x:c r="AG7" s="101" t="str">
        <x:v>NOT_STARTED</x:v>
      </x:c>
      <x:c r="AH7" s="101" t="str">
        <x:v>SEEDED</x:v>
      </x:c>
      <x:c r="AI7" s="101" t="str">
        <x:v>INTERNAL_ONLY</x:v>
      </x:c>
      <x:c r="AJ7" s="101" t="str">
        <x:v>P1</x:v>
      </x:c>
      <x:c r="AK7" s="101" t="str">
        <x:v>SEASONAL_WEEKLY</x:v>
      </x:c>
      <x:c r="AL7" s="50" t="str"/>
    </x:row>
    <x:row r="8">
      <x:c r="A8" s="83" t="str">
        <x:v>schoolinfo:55059a42-eda3-41ca-a94c-4584afd984a3</x:v>
      </x:c>
      <x:c r="B8" s="48" t="str">
        <x:v>성동초등학교</x:v>
      </x:c>
      <x:c r="C8" s="48" t="str"/>
      <x:c r="D8" s="48" t="str"/>
      <x:c r="E8" s="48" t="str"/>
      <x:c r="F8" s="48" t="str">
        <x:v>sungdong</x:v>
      </x:c>
      <x:c r="G8" s="48" t="str">
        <x:v>PROVISIONAL</x:v>
      </x:c>
      <x:c r="H8" s="48" t="str">
        <x:v>PRIVATE_ELEMENTARY</x:v>
      </x:c>
      <x:c r="I8" s="48" t="str">
        <x:v>PRIVATE_ELEMENTARY_SCHOOL</x:v>
      </x:c>
      <x:c r="J8" s="48" t="str">
        <x:v>서울특별시</x:v>
      </x:c>
      <x:c r="K8" s="48" t="str">
        <x:v>광진구</x:v>
      </x:c>
      <x:c r="L8" s="48" t="str">
        <x:v>서울특별시 광진구 자양로4길 63</x:v>
      </x:c>
      <x:c r="M8" s="48" t="str">
        <x:v>초등학교(1–6)</x:v>
      </x:c>
      <x:c r="N8" s="95" t="b">
        <x:v>0</x:v>
      </x:c>
      <x:c r="O8" s="95" t="b">
        <x:v>1</x:v>
      </x:c>
      <x:c r="P8" s="95" t="b">
        <x:v>0</x:v>
      </x:c>
      <x:c r="Q8" s="95" t="b">
        <x:v>0</x:v>
      </x:c>
      <x:c r="R8" s="48" t="str"/>
      <x:c r="S8" s="48" t="str"/>
      <x:c r="T8" s="48" t="str">
        <x:v>http://sungdong.sen.es.kr</x:v>
      </x:c>
      <x:c r="U8" s="48" t="str">
        <x:v>http://sungdong.sen.es.kr</x:v>
      </x:c>
      <x:c r="V8" s="48" t="str">
        <x:v>sungdong.sen.es.kr</x:v>
      </x:c>
      <x:c r="W8" s="48" t="str">
        <x:v>SCHOOLINFO</x:v>
      </x:c>
      <x:c r="X8" s="48" t="str">
        <x:v>55059a42-eda3-41ca-a94c-4584afd984a3</x:v>
      </x:c>
      <x:c r="Y8" s="48" t="str">
        <x:v>RESOLVED</x:v>
      </x:c>
      <x:c r="Z8" s="48" t="str">
        <x:v>https://www.schoolinfo.go.kr/ei/ss/Pneiss_b01_s0.do?SHL_IDF_CD=55059a42-eda3-41ca-a94c-4584afd984a3</x:v>
      </x:c>
      <x:c r="AA8" s="48" t="str">
        <x:v>성동초등학교 | 서울특별시 광진구 자양로4길 63</x:v>
      </x:c>
      <x:c r="AB8" s="48" t="str">
        <x:v>ACTIVE</x:v>
      </x:c>
      <x:c r="AC8" s="48" t="str">
        <x:v>VERIFIED_OFFICIAL_REGISTRY</x:v>
      </x:c>
      <x:c r="AD8" s="101" t="str">
        <x:v>2026-08-27</x:v>
      </x:c>
      <x:c r="AE8" s="101" t="str">
        <x:v>NOT_CHECKED</x:v>
      </x:c>
      <x:c r="AF8" s="101" t="str"/>
      <x:c r="AG8" s="101" t="str">
        <x:v>NOT_STARTED</x:v>
      </x:c>
      <x:c r="AH8" s="101" t="str">
        <x:v>SEEDED</x:v>
      </x:c>
      <x:c r="AI8" s="101" t="str">
        <x:v>INTERNAL_ONLY</x:v>
      </x:c>
      <x:c r="AJ8" s="101" t="str">
        <x:v>P1</x:v>
      </x:c>
      <x:c r="AK8" s="101" t="str">
        <x:v>SEASONAL_WEEKLY</x:v>
      </x:c>
      <x:c r="AL8" s="50" t="str"/>
    </x:row>
    <x:row r="9">
      <x:c r="A9" s="83" t="str">
        <x:v>schoolinfo:c5e26642-adec-46b4-9b98-924367f25492</x:v>
      </x:c>
      <x:c r="B9" s="48" t="str">
        <x:v>세종초등학교</x:v>
      </x:c>
      <x:c r="C9" s="48" t="str"/>
      <x:c r="D9" s="48" t="str"/>
      <x:c r="E9" s="48" t="str"/>
      <x:c r="F9" s="48" t="str">
        <x:v>sejong</x:v>
      </x:c>
      <x:c r="G9" s="48" t="str">
        <x:v>PROVISIONAL</x:v>
      </x:c>
      <x:c r="H9" s="48" t="str">
        <x:v>PRIVATE_ELEMENTARY</x:v>
      </x:c>
      <x:c r="I9" s="48" t="str">
        <x:v>PRIVATE_ELEMENTARY_SCHOOL</x:v>
      </x:c>
      <x:c r="J9" s="48" t="str">
        <x:v>서울특별시</x:v>
      </x:c>
      <x:c r="K9" s="48" t="str">
        <x:v>광진구</x:v>
      </x:c>
      <x:c r="L9" s="48" t="str">
        <x:v>서울특별시 광진구 군자로 114</x:v>
      </x:c>
      <x:c r="M9" s="48" t="str">
        <x:v>초등학교(1–6)</x:v>
      </x:c>
      <x:c r="N9" s="95" t="b">
        <x:v>0</x:v>
      </x:c>
      <x:c r="O9" s="95" t="b">
        <x:v>1</x:v>
      </x:c>
      <x:c r="P9" s="95" t="b">
        <x:v>0</x:v>
      </x:c>
      <x:c r="Q9" s="95" t="b">
        <x:v>0</x:v>
      </x:c>
      <x:c r="R9" s="48" t="str"/>
      <x:c r="S9" s="48" t="str"/>
      <x:c r="T9" s="48" t="str">
        <x:v>http://sejong.sen.es.kr</x:v>
      </x:c>
      <x:c r="U9" s="48" t="str">
        <x:v>http://sejong.sen.es.kr</x:v>
      </x:c>
      <x:c r="V9" s="48" t="str">
        <x:v>sejong.sen.es.kr</x:v>
      </x:c>
      <x:c r="W9" s="48" t="str">
        <x:v>SCHOOLINFO</x:v>
      </x:c>
      <x:c r="X9" s="48" t="str">
        <x:v>c5e26642-adec-46b4-9b98-924367f25492</x:v>
      </x:c>
      <x:c r="Y9" s="48" t="str">
        <x:v>RESOLVED</x:v>
      </x:c>
      <x:c r="Z9" s="48" t="str">
        <x:v>https://www.schoolinfo.go.kr/ei/ss/Pneiss_b01_s0.do?SHL_IDF_CD=c5e26642-adec-46b4-9b98-924367f25492</x:v>
      </x:c>
      <x:c r="AA9" s="48" t="str">
        <x:v>세종초등학교 | 서울특별시 광진구 군자로 114</x:v>
      </x:c>
      <x:c r="AB9" s="48" t="str">
        <x:v>ACTIVE</x:v>
      </x:c>
      <x:c r="AC9" s="48" t="str">
        <x:v>VERIFIED_OFFICIAL_REGISTRY</x:v>
      </x:c>
      <x:c r="AD9" s="101" t="str">
        <x:v>2026-08-27</x:v>
      </x:c>
      <x:c r="AE9" s="101" t="str">
        <x:v>NOT_CHECKED</x:v>
      </x:c>
      <x:c r="AF9" s="101" t="str"/>
      <x:c r="AG9" s="101" t="str">
        <x:v>NOT_STARTED</x:v>
      </x:c>
      <x:c r="AH9" s="101" t="str">
        <x:v>SEEDED</x:v>
      </x:c>
      <x:c r="AI9" s="101" t="str">
        <x:v>INTERNAL_ONLY</x:v>
      </x:c>
      <x:c r="AJ9" s="101" t="str">
        <x:v>P1</x:v>
      </x:c>
      <x:c r="AK9" s="101" t="str">
        <x:v>SEASONAL_WEEKLY</x:v>
      </x:c>
      <x:c r="AL9" s="50" t="str"/>
    </x:row>
    <x:row r="10">
      <x:c r="A10" s="83" t="str">
        <x:v>schoolinfo:ba1b119d-b51a-41f3-8ad8-3c1571a27b9d</x:v>
      </x:c>
      <x:c r="B10" s="48" t="str">
        <x:v>동광초등학교</x:v>
      </x:c>
      <x:c r="C10" s="48" t="str"/>
      <x:c r="D10" s="48" t="str"/>
      <x:c r="E10" s="48" t="str"/>
      <x:c r="F10" s="48" t="str">
        <x:v>donggwang</x:v>
      </x:c>
      <x:c r="G10" s="48" t="str">
        <x:v>PROVISIONAL</x:v>
      </x:c>
      <x:c r="H10" s="48" t="str">
        <x:v>PRIVATE_ELEMENTARY</x:v>
      </x:c>
      <x:c r="I10" s="48" t="str">
        <x:v>PRIVATE_ELEMENTARY_SCHOOL</x:v>
      </x:c>
      <x:c r="J10" s="48" t="str">
        <x:v>서울특별시</x:v>
      </x:c>
      <x:c r="K10" s="48" t="str">
        <x:v>금천구</x:v>
      </x:c>
      <x:c r="L10" s="48" t="str">
        <x:v>서울특별시 금천구 탑골로10길 45</x:v>
      </x:c>
      <x:c r="M10" s="48" t="str">
        <x:v>초등학교(1–6)</x:v>
      </x:c>
      <x:c r="N10" s="95" t="b">
        <x:v>0</x:v>
      </x:c>
      <x:c r="O10" s="95" t="b">
        <x:v>1</x:v>
      </x:c>
      <x:c r="P10" s="95" t="b">
        <x:v>0</x:v>
      </x:c>
      <x:c r="Q10" s="95" t="b">
        <x:v>0</x:v>
      </x:c>
      <x:c r="R10" s="48" t="str"/>
      <x:c r="S10" s="48" t="str"/>
      <x:c r="T10" s="48" t="str">
        <x:v>http://donggwang.sen.es.kr</x:v>
      </x:c>
      <x:c r="U10" s="48" t="str">
        <x:v>http://donggwang.sen.es.kr</x:v>
      </x:c>
      <x:c r="V10" s="48" t="str">
        <x:v>donggwang.sen.es.kr</x:v>
      </x:c>
      <x:c r="W10" s="48" t="str">
        <x:v>SCHOOLINFO</x:v>
      </x:c>
      <x:c r="X10" s="48" t="str">
        <x:v>ba1b119d-b51a-41f3-8ad8-3c1571a27b9d</x:v>
      </x:c>
      <x:c r="Y10" s="48" t="str">
        <x:v>RESOLVED</x:v>
      </x:c>
      <x:c r="Z10" s="48" t="str">
        <x:v>https://www.schoolinfo.go.kr/ei/ss/Pneiss_b01_s0.do?SHL_IDF_CD=ba1b119d-b51a-41f3-8ad8-3c1571a27b9d</x:v>
      </x:c>
      <x:c r="AA10" s="48" t="str">
        <x:v>동광초등학교 | 서울특별시 금천구 탑골로10길 45</x:v>
      </x:c>
      <x:c r="AB10" s="48" t="str">
        <x:v>ACTIVE</x:v>
      </x:c>
      <x:c r="AC10" s="48" t="str">
        <x:v>VERIFIED_OFFICIAL_REGISTRY</x:v>
      </x:c>
      <x:c r="AD10" s="101" t="str">
        <x:v>2026-08-27</x:v>
      </x:c>
      <x:c r="AE10" s="101" t="str">
        <x:v>NOT_CHECKED</x:v>
      </x:c>
      <x:c r="AF10" s="101" t="str"/>
      <x:c r="AG10" s="101" t="str">
        <x:v>NOT_STARTED</x:v>
      </x:c>
      <x:c r="AH10" s="101" t="str">
        <x:v>SEEDED</x:v>
      </x:c>
      <x:c r="AI10" s="101" t="str">
        <x:v>INTERNAL_ONLY</x:v>
      </x:c>
      <x:c r="AJ10" s="101" t="str">
        <x:v>P1</x:v>
      </x:c>
      <x:c r="AK10" s="101" t="str">
        <x:v>SEASONAL_WEEKLY</x:v>
      </x:c>
      <x:c r="AL10" s="50" t="str"/>
    </x:row>
    <x:row r="11">
      <x:c r="A11" s="83" t="str">
        <x:v>schoolinfo-pending:smcho.sen.es.kr</x:v>
      </x:c>
      <x:c r="B11" s="48" t="str">
        <x:v>상명초등학교</x:v>
      </x:c>
      <x:c r="C11" s="48" t="str"/>
      <x:c r="D11" s="48" t="str"/>
      <x:c r="E11" s="48" t="str"/>
      <x:c r="F11" s="48" t="str">
        <x:v>smcho</x:v>
      </x:c>
      <x:c r="G11" s="48" t="str">
        <x:v>PROVISIONAL</x:v>
      </x:c>
      <x:c r="H11" s="48" t="str">
        <x:v>PRIVATE_ELEMENTARY</x:v>
      </x:c>
      <x:c r="I11" s="48" t="str">
        <x:v>PRIVATE_ELEMENTARY_SCHOOL</x:v>
      </x:c>
      <x:c r="J11" s="48" t="str">
        <x:v>서울특별시</x:v>
      </x:c>
      <x:c r="K11" s="48" t="str">
        <x:v>노원구</x:v>
      </x:c>
      <x:c r="L11" s="48" t="str">
        <x:v>서울특별시 노원구 덕릉로 541</x:v>
      </x:c>
      <x:c r="M11" s="48" t="str">
        <x:v>초등학교(1–6)</x:v>
      </x:c>
      <x:c r="N11" s="95" t="b">
        <x:v>0</x:v>
      </x:c>
      <x:c r="O11" s="95" t="b">
        <x:v>1</x:v>
      </x:c>
      <x:c r="P11" s="95" t="b">
        <x:v>0</x:v>
      </x:c>
      <x:c r="Q11" s="95" t="b">
        <x:v>0</x:v>
      </x:c>
      <x:c r="R11" s="48" t="str"/>
      <x:c r="S11" s="48" t="str"/>
      <x:c r="T11" s="48" t="str">
        <x:v>https://smcho.sen.es.kr/</x:v>
      </x:c>
      <x:c r="U11" s="48" t="str">
        <x:v>https://smcho.sen.es.kr</x:v>
      </x:c>
      <x:c r="V11" s="48" t="str">
        <x:v>smcho.sen.es.kr</x:v>
      </x:c>
      <x:c r="W11" s="48" t="str">
        <x:v>SCHOOLINFO</x:v>
      </x:c>
      <x:c r="X11" s="48" t="str"/>
      <x:c r="Y11" s="48" t="str">
        <x:v>PENDING</x:v>
      </x:c>
      <x:c r="Z11" s="48" t="str">
        <x:v>https://www.schoolinfo.go.kr/</x:v>
      </x:c>
      <x:c r="AA11" s="48" t="str">
        <x:v>상명초등학교 | 서울특별시 노원구 덕릉로 541</x:v>
      </x:c>
      <x:c r="AB11" s="48" t="str">
        <x:v>ACTIVE</x:v>
      </x:c>
      <x:c r="AC11" s="48" t="str">
        <x:v>VERIFIED_REGISTRY_LIST_RECORD_ID_PENDING</x:v>
      </x:c>
      <x:c r="AD11" s="101" t="str">
        <x:v>2026-08-27</x:v>
      </x:c>
      <x:c r="AE11" s="101" t="str">
        <x:v>NOT_CHECKED</x:v>
      </x:c>
      <x:c r="AF11" s="101" t="str"/>
      <x:c r="AG11" s="101" t="str">
        <x:v>NOT_STARTED</x:v>
      </x:c>
      <x:c r="AH11" s="101" t="str">
        <x:v>SEEDED</x:v>
      </x:c>
      <x:c r="AI11" s="101" t="str">
        <x:v>INTERNAL_ONLY</x:v>
      </x:c>
      <x:c r="AJ11" s="101" t="str">
        <x:v>P1</x:v>
      </x:c>
      <x:c r="AK11" s="101" t="str">
        <x:v>SEASONAL_WEEKLY</x:v>
      </x:c>
      <x:c r="AL11" s="50" t="str">
        <x:v>SchoolInfo deep-link UUID must be reconciled before production import.</x:v>
      </x:c>
    </x:row>
    <x:row r="12">
      <x:c r="A12" s="83" t="str">
        <x:v>schoolinfo-pending:cheongwon.sen.es.kr</x:v>
      </x:c>
      <x:c r="B12" s="48" t="str">
        <x:v>청원초등학교</x:v>
      </x:c>
      <x:c r="C12" s="48" t="str"/>
      <x:c r="D12" s="48" t="str"/>
      <x:c r="E12" s="48" t="str"/>
      <x:c r="F12" s="48" t="str">
        <x:v>cheongwon</x:v>
      </x:c>
      <x:c r="G12" s="48" t="str">
        <x:v>PROVISIONAL</x:v>
      </x:c>
      <x:c r="H12" s="48" t="str">
        <x:v>PRIVATE_ELEMENTARY</x:v>
      </x:c>
      <x:c r="I12" s="48" t="str">
        <x:v>PRIVATE_ELEMENTARY_SCHOOL</x:v>
      </x:c>
      <x:c r="J12" s="48" t="str">
        <x:v>서울특별시</x:v>
      </x:c>
      <x:c r="K12" s="48" t="str">
        <x:v>노원구</x:v>
      </x:c>
      <x:c r="L12" s="48" t="str">
        <x:v>서울특별시 노원구 한글비석로 506</x:v>
      </x:c>
      <x:c r="M12" s="48" t="str">
        <x:v>초등학교(1–6)</x:v>
      </x:c>
      <x:c r="N12" s="95" t="b">
        <x:v>0</x:v>
      </x:c>
      <x:c r="O12" s="95" t="b">
        <x:v>1</x:v>
      </x:c>
      <x:c r="P12" s="95" t="b">
        <x:v>0</x:v>
      </x:c>
      <x:c r="Q12" s="95" t="b">
        <x:v>0</x:v>
      </x:c>
      <x:c r="R12" s="48" t="str"/>
      <x:c r="S12" s="48" t="str"/>
      <x:c r="T12" s="48" t="str">
        <x:v>http://cheongwon.sen.es.kr</x:v>
      </x:c>
      <x:c r="U12" s="48" t="str">
        <x:v>http://cheongwon.sen.es.kr</x:v>
      </x:c>
      <x:c r="V12" s="48" t="str">
        <x:v>cheongwon.sen.es.kr</x:v>
      </x:c>
      <x:c r="W12" s="48" t="str">
        <x:v>SCHOOLINFO</x:v>
      </x:c>
      <x:c r="X12" s="48" t="str"/>
      <x:c r="Y12" s="48" t="str">
        <x:v>PENDING</x:v>
      </x:c>
      <x:c r="Z12" s="48" t="str">
        <x:v>https://www.schoolinfo.go.kr/</x:v>
      </x:c>
      <x:c r="AA12" s="48" t="str">
        <x:v>청원초등학교 | 서울특별시 노원구 한글비석로 506</x:v>
      </x:c>
      <x:c r="AB12" s="48" t="str">
        <x:v>ACTIVE</x:v>
      </x:c>
      <x:c r="AC12" s="48" t="str">
        <x:v>VERIFIED_REGISTRY_LIST_RECORD_ID_PENDING</x:v>
      </x:c>
      <x:c r="AD12" s="101" t="str">
        <x:v>2026-08-27</x:v>
      </x:c>
      <x:c r="AE12" s="101" t="str">
        <x:v>NOT_CHECKED</x:v>
      </x:c>
      <x:c r="AF12" s="101" t="str"/>
      <x:c r="AG12" s="101" t="str">
        <x:v>NOT_STARTED</x:v>
      </x:c>
      <x:c r="AH12" s="101" t="str">
        <x:v>SEEDED</x:v>
      </x:c>
      <x:c r="AI12" s="101" t="str">
        <x:v>INTERNAL_ONLY</x:v>
      </x:c>
      <x:c r="AJ12" s="101" t="str">
        <x:v>P1</x:v>
      </x:c>
      <x:c r="AK12" s="101" t="str">
        <x:v>SEASONAL_WEEKLY</x:v>
      </x:c>
      <x:c r="AL12" s="50" t="str">
        <x:v>SchoolInfo deep-link UUID must be reconciled before production import.</x:v>
      </x:c>
    </x:row>
    <x:row r="13">
      <x:c r="A13" s="83" t="str">
        <x:v>schoolinfo:3ddc670c-04bb-44e8-9966-791af18eb7a6</x:v>
      </x:c>
      <x:c r="B13" s="48" t="str">
        <x:v>태강삼육초등학교</x:v>
      </x:c>
      <x:c r="C13" s="48" t="str"/>
      <x:c r="D13" s="48" t="str"/>
      <x:c r="E13" s="48" t="str"/>
      <x:c r="F13" s="48" t="str">
        <x:v>taegang</x:v>
      </x:c>
      <x:c r="G13" s="48" t="str">
        <x:v>PROVISIONAL</x:v>
      </x:c>
      <x:c r="H13" s="48" t="str">
        <x:v>PRIVATE_ELEMENTARY</x:v>
      </x:c>
      <x:c r="I13" s="48" t="str">
        <x:v>PRIVATE_ELEMENTARY_SCHOOL</x:v>
      </x:c>
      <x:c r="J13" s="48" t="str">
        <x:v>서울특별시</x:v>
      </x:c>
      <x:c r="K13" s="48" t="str">
        <x:v>노원구</x:v>
      </x:c>
      <x:c r="L13" s="48" t="str">
        <x:v>서울특별시 노원구 화랑로 815</x:v>
      </x:c>
      <x:c r="M13" s="48" t="str">
        <x:v>초등학교(1–6)</x:v>
      </x:c>
      <x:c r="N13" s="95" t="b">
        <x:v>0</x:v>
      </x:c>
      <x:c r="O13" s="95" t="b">
        <x:v>1</x:v>
      </x:c>
      <x:c r="P13" s="95" t="b">
        <x:v>0</x:v>
      </x:c>
      <x:c r="Q13" s="95" t="b">
        <x:v>0</x:v>
      </x:c>
      <x:c r="R13" s="48" t="str"/>
      <x:c r="S13" s="48" t="str"/>
      <x:c r="T13" s="48" t="str">
        <x:v>http://taegang.sen.es.kr</x:v>
      </x:c>
      <x:c r="U13" s="48" t="str">
        <x:v>http://taegang.sen.es.kr</x:v>
      </x:c>
      <x:c r="V13" s="48" t="str">
        <x:v>taegang.sen.es.kr</x:v>
      </x:c>
      <x:c r="W13" s="48" t="str">
        <x:v>SCHOOLINFO</x:v>
      </x:c>
      <x:c r="X13" s="48" t="str">
        <x:v>3ddc670c-04bb-44e8-9966-791af18eb7a6</x:v>
      </x:c>
      <x:c r="Y13" s="48" t="str">
        <x:v>RESOLVED</x:v>
      </x:c>
      <x:c r="Z13" s="48" t="str">
        <x:v>https://www.schoolinfo.go.kr/ei/ss/Pneiss_b01_s0.do?SHL_IDF_CD=3ddc670c-04bb-44e8-9966-791af18eb7a6</x:v>
      </x:c>
      <x:c r="AA13" s="48" t="str">
        <x:v>태강삼육초등학교 | 서울특별시 노원구 화랑로 815</x:v>
      </x:c>
      <x:c r="AB13" s="48" t="str">
        <x:v>ACTIVE</x:v>
      </x:c>
      <x:c r="AC13" s="48" t="str">
        <x:v>VERIFIED_OFFICIAL_REGISTRY</x:v>
      </x:c>
      <x:c r="AD13" s="101" t="str">
        <x:v>2026-08-27</x:v>
      </x:c>
      <x:c r="AE13" s="101" t="str">
        <x:v>NOT_CHECKED</x:v>
      </x:c>
      <x:c r="AF13" s="101" t="str"/>
      <x:c r="AG13" s="101" t="str">
        <x:v>NOT_STARTED</x:v>
      </x:c>
      <x:c r="AH13" s="101" t="str">
        <x:v>SEEDED</x:v>
      </x:c>
      <x:c r="AI13" s="101" t="str">
        <x:v>INTERNAL_ONLY</x:v>
      </x:c>
      <x:c r="AJ13" s="101" t="str">
        <x:v>P1</x:v>
      </x:c>
      <x:c r="AK13" s="101" t="str">
        <x:v>SEASONAL_WEEKLY</x:v>
      </x:c>
      <x:c r="AL13" s="50" t="str"/>
    </x:row>
    <x:row r="14">
      <x:c r="A14" s="83" t="str">
        <x:v>schoolinfo:669c6e89-38a3-4547-92f8-afb31abb9d7f</x:v>
      </x:c>
      <x:c r="B14" s="48" t="str">
        <x:v>화랑초등학교</x:v>
      </x:c>
      <x:c r="C14" s="48" t="str"/>
      <x:c r="D14" s="48" t="str"/>
      <x:c r="E14" s="48" t="str"/>
      <x:c r="F14" s="48" t="str">
        <x:v>hwarang-s</x:v>
      </x:c>
      <x:c r="G14" s="48" t="str">
        <x:v>PROVISIONAL</x:v>
      </x:c>
      <x:c r="H14" s="48" t="str">
        <x:v>PRIVATE_ELEMENTARY</x:v>
      </x:c>
      <x:c r="I14" s="48" t="str">
        <x:v>PRIVATE_ELEMENTARY_SCHOOL</x:v>
      </x:c>
      <x:c r="J14" s="48" t="str">
        <x:v>서울특별시</x:v>
      </x:c>
      <x:c r="K14" s="48" t="str">
        <x:v>노원구</x:v>
      </x:c>
      <x:c r="L14" s="48" t="str">
        <x:v>서울특별시 노원구 화랑로 621</x:v>
      </x:c>
      <x:c r="M14" s="48" t="str">
        <x:v>초등학교(1–6)</x:v>
      </x:c>
      <x:c r="N14" s="95" t="b">
        <x:v>0</x:v>
      </x:c>
      <x:c r="O14" s="95" t="b">
        <x:v>1</x:v>
      </x:c>
      <x:c r="P14" s="95" t="b">
        <x:v>0</x:v>
      </x:c>
      <x:c r="Q14" s="95" t="b">
        <x:v>0</x:v>
      </x:c>
      <x:c r="R14" s="48" t="str"/>
      <x:c r="S14" s="48" t="str"/>
      <x:c r="T14" s="48" t="str">
        <x:v>http://hwarang-s.sen.es.kr</x:v>
      </x:c>
      <x:c r="U14" s="48" t="str">
        <x:v>http://hwarang-s.sen.es.kr</x:v>
      </x:c>
      <x:c r="V14" s="48" t="str">
        <x:v>hwarang-s.sen.es.kr</x:v>
      </x:c>
      <x:c r="W14" s="48" t="str">
        <x:v>SCHOOLINFO</x:v>
      </x:c>
      <x:c r="X14" s="48" t="str">
        <x:v>669c6e89-38a3-4547-92f8-afb31abb9d7f</x:v>
      </x:c>
      <x:c r="Y14" s="48" t="str">
        <x:v>RESOLVED</x:v>
      </x:c>
      <x:c r="Z14" s="48" t="str">
        <x:v>https://www.schoolinfo.go.kr/ei/ss/Pneiss_b01_s0.do?SHL_IDF_CD=669c6e89-38a3-4547-92f8-afb31abb9d7f</x:v>
      </x:c>
      <x:c r="AA14" s="48" t="str">
        <x:v>화랑초등학교 | 서울특별시 노원구 화랑로 621</x:v>
      </x:c>
      <x:c r="AB14" s="48" t="str">
        <x:v>ACTIVE</x:v>
      </x:c>
      <x:c r="AC14" s="48" t="str">
        <x:v>VERIFIED_OFFICIAL_REGISTRY</x:v>
      </x:c>
      <x:c r="AD14" s="101" t="str">
        <x:v>2026-08-27</x:v>
      </x:c>
      <x:c r="AE14" s="101" t="str">
        <x:v>NOT_CHECKED</x:v>
      </x:c>
      <x:c r="AF14" s="101" t="str"/>
      <x:c r="AG14" s="101" t="str">
        <x:v>NOT_STARTED</x:v>
      </x:c>
      <x:c r="AH14" s="101" t="str">
        <x:v>SEEDED</x:v>
      </x:c>
      <x:c r="AI14" s="101" t="str">
        <x:v>INTERNAL_ONLY</x:v>
      </x:c>
      <x:c r="AJ14" s="101" t="str">
        <x:v>P1</x:v>
      </x:c>
      <x:c r="AK14" s="101" t="str">
        <x:v>SEASONAL_WEEKLY</x:v>
      </x:c>
      <x:c r="AL14" s="50" t="str"/>
    </x:row>
    <x:row r="15">
      <x:c r="A15" s="83" t="str">
        <x:v>schoolinfo:d8ff5bf9-fd69-4436-8c39-587460a90fcf</x:v>
      </x:c>
      <x:c r="B15" s="48" t="str">
        <x:v>동북초등학교</x:v>
      </x:c>
      <x:c r="C15" s="48" t="str"/>
      <x:c r="D15" s="48" t="str"/>
      <x:c r="E15" s="48" t="str"/>
      <x:c r="F15" s="48" t="str">
        <x:v>dongbuk</x:v>
      </x:c>
      <x:c r="G15" s="48" t="str">
        <x:v>PROVISIONAL</x:v>
      </x:c>
      <x:c r="H15" s="48" t="str">
        <x:v>PRIVATE_ELEMENTARY</x:v>
      </x:c>
      <x:c r="I15" s="48" t="str">
        <x:v>PRIVATE_ELEMENTARY_SCHOOL</x:v>
      </x:c>
      <x:c r="J15" s="48" t="str">
        <x:v>서울특별시</x:v>
      </x:c>
      <x:c r="K15" s="48" t="str">
        <x:v>도봉구</x:v>
      </x:c>
      <x:c r="L15" s="48" t="str">
        <x:v>서울특별시 도봉구 시루봉로 53</x:v>
      </x:c>
      <x:c r="M15" s="48" t="str">
        <x:v>초등학교(1–6)</x:v>
      </x:c>
      <x:c r="N15" s="95" t="b">
        <x:v>0</x:v>
      </x:c>
      <x:c r="O15" s="95" t="b">
        <x:v>1</x:v>
      </x:c>
      <x:c r="P15" s="95" t="b">
        <x:v>0</x:v>
      </x:c>
      <x:c r="Q15" s="95" t="b">
        <x:v>0</x:v>
      </x:c>
      <x:c r="R15" s="48" t="str"/>
      <x:c r="S15" s="48" t="str"/>
      <x:c r="T15" s="48" t="str">
        <x:v>http://dongbuk.sen.es.kr</x:v>
      </x:c>
      <x:c r="U15" s="48" t="str">
        <x:v>http://dongbuk.sen.es.kr</x:v>
      </x:c>
      <x:c r="V15" s="48" t="str">
        <x:v>dongbuk.sen.es.kr</x:v>
      </x:c>
      <x:c r="W15" s="48" t="str">
        <x:v>SCHOOLINFO</x:v>
      </x:c>
      <x:c r="X15" s="48" t="str">
        <x:v>d8ff5bf9-fd69-4436-8c39-587460a90fcf</x:v>
      </x:c>
      <x:c r="Y15" s="48" t="str">
        <x:v>RESOLVED</x:v>
      </x:c>
      <x:c r="Z15" s="48" t="str">
        <x:v>https://www.schoolinfo.go.kr/ei/ss/Pneiss_b01_s0.do?SHL_IDF_CD=d8ff5bf9-fd69-4436-8c39-587460a90fcf</x:v>
      </x:c>
      <x:c r="AA15" s="48" t="str">
        <x:v>동북초등학교 | 서울특별시 도봉구 시루봉로 53</x:v>
      </x:c>
      <x:c r="AB15" s="48" t="str">
        <x:v>ACTIVE</x:v>
      </x:c>
      <x:c r="AC15" s="48" t="str">
        <x:v>VERIFIED_OFFICIAL_REGISTRY</x:v>
      </x:c>
      <x:c r="AD15" s="101" t="str">
        <x:v>2026-08-27</x:v>
      </x:c>
      <x:c r="AE15" s="101" t="str">
        <x:v>NOT_CHECKED</x:v>
      </x:c>
      <x:c r="AF15" s="101" t="str"/>
      <x:c r="AG15" s="101" t="str">
        <x:v>NOT_STARTED</x:v>
      </x:c>
      <x:c r="AH15" s="101" t="str">
        <x:v>SEEDED</x:v>
      </x:c>
      <x:c r="AI15" s="101" t="str">
        <x:v>INTERNAL_ONLY</x:v>
      </x:c>
      <x:c r="AJ15" s="101" t="str">
        <x:v>P1</x:v>
      </x:c>
      <x:c r="AK15" s="101" t="str">
        <x:v>SEASONAL_WEEKLY</x:v>
      </x:c>
      <x:c r="AL15" s="50" t="str"/>
    </x:row>
    <x:row r="16">
      <x:c r="A16" s="83" t="str">
        <x:v>schoolinfo:d1221895-1e27-466c-95db-fab495887712</x:v>
      </x:c>
      <x:c r="B16" s="48" t="str">
        <x:v>한신초등학교</x:v>
      </x:c>
      <x:c r="C16" s="48" t="str"/>
      <x:c r="D16" s="48" t="str"/>
      <x:c r="E16" s="48" t="str"/>
      <x:c r="F16" s="48" t="str">
        <x:v>ihansin</x:v>
      </x:c>
      <x:c r="G16" s="48" t="str">
        <x:v>PROVISIONAL</x:v>
      </x:c>
      <x:c r="H16" s="48" t="str">
        <x:v>PRIVATE_ELEMENTARY</x:v>
      </x:c>
      <x:c r="I16" s="48" t="str">
        <x:v>PRIVATE_ELEMENTARY_SCHOOL</x:v>
      </x:c>
      <x:c r="J16" s="48" t="str">
        <x:v>서울특별시</x:v>
      </x:c>
      <x:c r="K16" s="48" t="str">
        <x:v>도봉구</x:v>
      </x:c>
      <x:c r="L16" s="48" t="str">
        <x:v>서울특별시 도봉구 노해로49길 69</x:v>
      </x:c>
      <x:c r="M16" s="48" t="str">
        <x:v>초등학교(1–6)</x:v>
      </x:c>
      <x:c r="N16" s="95" t="b">
        <x:v>0</x:v>
      </x:c>
      <x:c r="O16" s="95" t="b">
        <x:v>1</x:v>
      </x:c>
      <x:c r="P16" s="95" t="b">
        <x:v>0</x:v>
      </x:c>
      <x:c r="Q16" s="95" t="b">
        <x:v>0</x:v>
      </x:c>
      <x:c r="R16" s="48" t="str"/>
      <x:c r="S16" s="48" t="str"/>
      <x:c r="T16" s="48" t="str">
        <x:v>https://ihansin.sen.es.kr</x:v>
      </x:c>
      <x:c r="U16" s="48" t="str">
        <x:v>https://ihansin.sen.es.kr</x:v>
      </x:c>
      <x:c r="V16" s="48" t="str">
        <x:v>ihansin.sen.es.kr</x:v>
      </x:c>
      <x:c r="W16" s="48" t="str">
        <x:v>SCHOOLINFO</x:v>
      </x:c>
      <x:c r="X16" s="48" t="str">
        <x:v>d1221895-1e27-466c-95db-fab495887712</x:v>
      </x:c>
      <x:c r="Y16" s="48" t="str">
        <x:v>RESOLVED</x:v>
      </x:c>
      <x:c r="Z16" s="48" t="str">
        <x:v>https://www.schoolinfo.go.kr/ei/ss/Pneiss_b01_s0.do?SHL_IDF_CD=d1221895-1e27-466c-95db-fab495887712</x:v>
      </x:c>
      <x:c r="AA16" s="48" t="str">
        <x:v>한신초등학교 | 서울특별시 도봉구 노해로49길 69</x:v>
      </x:c>
      <x:c r="AB16" s="48" t="str">
        <x:v>ACTIVE</x:v>
      </x:c>
      <x:c r="AC16" s="48" t="str">
        <x:v>VERIFIED_OFFICIAL_REGISTRY</x:v>
      </x:c>
      <x:c r="AD16" s="101" t="str">
        <x:v>2026-08-27</x:v>
      </x:c>
      <x:c r="AE16" s="101" t="str">
        <x:v>NOT_CHECKED</x:v>
      </x:c>
      <x:c r="AF16" s="101" t="str"/>
      <x:c r="AG16" s="101" t="str">
        <x:v>NOT_STARTED</x:v>
      </x:c>
      <x:c r="AH16" s="101" t="str">
        <x:v>SEEDED</x:v>
      </x:c>
      <x:c r="AI16" s="101" t="str">
        <x:v>INTERNAL_ONLY</x:v>
      </x:c>
      <x:c r="AJ16" s="101" t="str">
        <x:v>P1</x:v>
      </x:c>
      <x:c r="AK16" s="101" t="str">
        <x:v>SEASONAL_WEEKLY</x:v>
      </x:c>
      <x:c r="AL16" s="50" t="str"/>
    </x:row>
    <x:row r="17">
      <x:c r="A17" s="83" t="str">
        <x:v>schoolinfo:30b5c818-362d-4eac-8b41-cfbe9ccd4800</x:v>
      </x:c>
      <x:c r="B17" s="48" t="str">
        <x:v>경희초등학교</x:v>
      </x:c>
      <x:c r="C17" s="48" t="str"/>
      <x:c r="D17" s="48" t="str"/>
      <x:c r="E17" s="48" t="str"/>
      <x:c r="F17" s="48" t="str">
        <x:v>kyunghee</x:v>
      </x:c>
      <x:c r="G17" s="48" t="str">
        <x:v>PROVISIONAL</x:v>
      </x:c>
      <x:c r="H17" s="48" t="str">
        <x:v>PRIVATE_ELEMENTARY</x:v>
      </x:c>
      <x:c r="I17" s="48" t="str">
        <x:v>PRIVATE_ELEMENTARY_SCHOOL</x:v>
      </x:c>
      <x:c r="J17" s="48" t="str">
        <x:v>서울특별시</x:v>
      </x:c>
      <x:c r="K17" s="48" t="str">
        <x:v>동대문구</x:v>
      </x:c>
      <x:c r="L17" s="48" t="str">
        <x:v>서울특별시 동대문구 경희대로 26</x:v>
      </x:c>
      <x:c r="M17" s="48" t="str">
        <x:v>초등학교(1–6)</x:v>
      </x:c>
      <x:c r="N17" s="95" t="b">
        <x:v>0</x:v>
      </x:c>
      <x:c r="O17" s="95" t="b">
        <x:v>1</x:v>
      </x:c>
      <x:c r="P17" s="95" t="b">
        <x:v>0</x:v>
      </x:c>
      <x:c r="Q17" s="95" t="b">
        <x:v>0</x:v>
      </x:c>
      <x:c r="R17" s="48" t="str"/>
      <x:c r="S17" s="48" t="str"/>
      <x:c r="T17" s="48" t="str">
        <x:v>http://kyunghee.sen.es.kr</x:v>
      </x:c>
      <x:c r="U17" s="48" t="str">
        <x:v>http://kyunghee.sen.es.kr</x:v>
      </x:c>
      <x:c r="V17" s="48" t="str">
        <x:v>kyunghee.sen.es.kr</x:v>
      </x:c>
      <x:c r="W17" s="48" t="str">
        <x:v>SCHOOLINFO</x:v>
      </x:c>
      <x:c r="X17" s="48" t="str">
        <x:v>30b5c818-362d-4eac-8b41-cfbe9ccd4800</x:v>
      </x:c>
      <x:c r="Y17" s="48" t="str">
        <x:v>RESOLVED</x:v>
      </x:c>
      <x:c r="Z17" s="48" t="str">
        <x:v>https://www.schoolinfo.go.kr/ei/ss/Pneiss_b01_s0.do?SHL_IDF_CD=30b5c818-362d-4eac-8b41-cfbe9ccd4800</x:v>
      </x:c>
      <x:c r="AA17" s="48" t="str">
        <x:v>경희초등학교 | 서울특별시 동대문구 경희대로 26</x:v>
      </x:c>
      <x:c r="AB17" s="48" t="str">
        <x:v>ACTIVE</x:v>
      </x:c>
      <x:c r="AC17" s="48" t="str">
        <x:v>VERIFIED_OFFICIAL_REGISTRY</x:v>
      </x:c>
      <x:c r="AD17" s="101" t="str">
        <x:v>2026-08-27</x:v>
      </x:c>
      <x:c r="AE17" s="101" t="str">
        <x:v>NOT_CHECKED</x:v>
      </x:c>
      <x:c r="AF17" s="101" t="str"/>
      <x:c r="AG17" s="101" t="str">
        <x:v>NOT_STARTED</x:v>
      </x:c>
      <x:c r="AH17" s="101" t="str">
        <x:v>SEEDED</x:v>
      </x:c>
      <x:c r="AI17" s="101" t="str">
        <x:v>INTERNAL_ONLY</x:v>
      </x:c>
      <x:c r="AJ17" s="101" t="str">
        <x:v>P1</x:v>
      </x:c>
      <x:c r="AK17" s="101" t="str">
        <x:v>SEASONAL_WEEKLY</x:v>
      </x:c>
      <x:c r="AL17" s="50" t="str"/>
    </x:row>
    <x:row r="18">
      <x:c r="A18" s="83" t="str">
        <x:v>schoolinfo:d535233a-f7e2-4b98-98ca-223d916c0ac4</x:v>
      </x:c>
      <x:c r="B18" s="48" t="str">
        <x:v>서울삼육초등학교</x:v>
      </x:c>
      <x:c r="C18" s="48" t="str"/>
      <x:c r="D18" s="48" t="str"/>
      <x:c r="E18" s="48" t="str"/>
      <x:c r="F18" s="48" t="str">
        <x:v>seoul36</x:v>
      </x:c>
      <x:c r="G18" s="48" t="str">
        <x:v>PROVISIONAL</x:v>
      </x:c>
      <x:c r="H18" s="48" t="str">
        <x:v>PRIVATE_ELEMENTARY</x:v>
      </x:c>
      <x:c r="I18" s="48" t="str">
        <x:v>PRIVATE_ELEMENTARY_SCHOOL</x:v>
      </x:c>
      <x:c r="J18" s="48" t="str">
        <x:v>서울특별시</x:v>
      </x:c>
      <x:c r="K18" s="48" t="str">
        <x:v>동대문구</x:v>
      </x:c>
      <x:c r="L18" s="48" t="str">
        <x:v>서울특별시 동대문구 회기로10길 63</x:v>
      </x:c>
      <x:c r="M18" s="48" t="str">
        <x:v>초등학교(1–6)</x:v>
      </x:c>
      <x:c r="N18" s="95" t="b">
        <x:v>0</x:v>
      </x:c>
      <x:c r="O18" s="95" t="b">
        <x:v>1</x:v>
      </x:c>
      <x:c r="P18" s="95" t="b">
        <x:v>0</x:v>
      </x:c>
      <x:c r="Q18" s="95" t="b">
        <x:v>0</x:v>
      </x:c>
      <x:c r="R18" s="48" t="str"/>
      <x:c r="S18" s="48" t="str"/>
      <x:c r="T18" s="48" t="str">
        <x:v>http://seoul36.sen.es.kr</x:v>
      </x:c>
      <x:c r="U18" s="48" t="str">
        <x:v>http://seoul36.sen.es.kr</x:v>
      </x:c>
      <x:c r="V18" s="48" t="str">
        <x:v>seoul36.sen.es.kr</x:v>
      </x:c>
      <x:c r="W18" s="48" t="str">
        <x:v>SCHOOLINFO</x:v>
      </x:c>
      <x:c r="X18" s="48" t="str">
        <x:v>d535233a-f7e2-4b98-98ca-223d916c0ac4</x:v>
      </x:c>
      <x:c r="Y18" s="48" t="str">
        <x:v>RESOLVED</x:v>
      </x:c>
      <x:c r="Z18" s="48" t="str">
        <x:v>https://www.schoolinfo.go.kr/ei/ss/Pneiss_b01_s0.do?SHL_IDF_CD=d535233a-f7e2-4b98-98ca-223d916c0ac4</x:v>
      </x:c>
      <x:c r="AA18" s="48" t="str">
        <x:v>서울삼육초등학교 | 서울특별시 동대문구 회기로10길 63</x:v>
      </x:c>
      <x:c r="AB18" s="48" t="str">
        <x:v>ACTIVE</x:v>
      </x:c>
      <x:c r="AC18" s="48" t="str">
        <x:v>VERIFIED_OFFICIAL_REGISTRY</x:v>
      </x:c>
      <x:c r="AD18" s="101" t="str">
        <x:v>2026-08-27</x:v>
      </x:c>
      <x:c r="AE18" s="101" t="str">
        <x:v>NOT_CHECKED</x:v>
      </x:c>
      <x:c r="AF18" s="101" t="str"/>
      <x:c r="AG18" s="101" t="str">
        <x:v>NOT_STARTED</x:v>
      </x:c>
      <x:c r="AH18" s="101" t="str">
        <x:v>SEEDED</x:v>
      </x:c>
      <x:c r="AI18" s="101" t="str">
        <x:v>INTERNAL_ONLY</x:v>
      </x:c>
      <x:c r="AJ18" s="101" t="str">
        <x:v>P1</x:v>
      </x:c>
      <x:c r="AK18" s="101" t="str">
        <x:v>SEASONAL_WEEKLY</x:v>
      </x:c>
      <x:c r="AL18" s="50" t="str"/>
    </x:row>
    <x:row r="19">
      <x:c r="A19" s="83" t="str">
        <x:v>schoolinfo:81f0cde5-7867-4302-94bd-363bd90cbc44</x:v>
      </x:c>
      <x:c r="B19" s="48" t="str">
        <x:v>은석초등학교</x:v>
      </x:c>
      <x:c r="C19" s="48" t="str"/>
      <x:c r="D19" s="48" t="str"/>
      <x:c r="E19" s="48" t="str"/>
      <x:c r="F19" s="48" t="str">
        <x:v>eunseok</x:v>
      </x:c>
      <x:c r="G19" s="48" t="str">
        <x:v>PROVISIONAL</x:v>
      </x:c>
      <x:c r="H19" s="48" t="str">
        <x:v>PRIVATE_ELEMENTARY</x:v>
      </x:c>
      <x:c r="I19" s="48" t="str">
        <x:v>PRIVATE_ELEMENTARY_SCHOOL</x:v>
      </x:c>
      <x:c r="J19" s="48" t="str">
        <x:v>서울특별시</x:v>
      </x:c>
      <x:c r="K19" s="48" t="str">
        <x:v>동대문구</x:v>
      </x:c>
      <x:c r="L19" s="48" t="str">
        <x:v>서울특별시 동대문구 장안벚꽃로 205</x:v>
      </x:c>
      <x:c r="M19" s="48" t="str">
        <x:v>초등학교(1–6)</x:v>
      </x:c>
      <x:c r="N19" s="95" t="b">
        <x:v>0</x:v>
      </x:c>
      <x:c r="O19" s="95" t="b">
        <x:v>1</x:v>
      </x:c>
      <x:c r="P19" s="95" t="b">
        <x:v>0</x:v>
      </x:c>
      <x:c r="Q19" s="95" t="b">
        <x:v>0</x:v>
      </x:c>
      <x:c r="R19" s="48" t="str"/>
      <x:c r="S19" s="48" t="str"/>
      <x:c r="T19" s="48" t="str">
        <x:v>http://eunseok.sen.es.kr/index.do</x:v>
      </x:c>
      <x:c r="U19" s="48" t="str">
        <x:v>http://eunseok.sen.es.kr/index.do</x:v>
      </x:c>
      <x:c r="V19" s="48" t="str">
        <x:v>eunseok.sen.es.kr</x:v>
      </x:c>
      <x:c r="W19" s="48" t="str">
        <x:v>SCHOOLINFO</x:v>
      </x:c>
      <x:c r="X19" s="48" t="str">
        <x:v>81f0cde5-7867-4302-94bd-363bd90cbc44</x:v>
      </x:c>
      <x:c r="Y19" s="48" t="str">
        <x:v>RESOLVED</x:v>
      </x:c>
      <x:c r="Z19" s="48" t="str">
        <x:v>https://www.schoolinfo.go.kr/ei/ss/Pneiss_b01_s0.do?SHL_IDF_CD=81f0cde5-7867-4302-94bd-363bd90cbc44</x:v>
      </x:c>
      <x:c r="AA19" s="48" t="str">
        <x:v>은석초등학교 | 서울특별시 동대문구 장안벚꽃로 205</x:v>
      </x:c>
      <x:c r="AB19" s="48" t="str">
        <x:v>ACTIVE</x:v>
      </x:c>
      <x:c r="AC19" s="48" t="str">
        <x:v>VERIFIED_OFFICIAL_REGISTRY</x:v>
      </x:c>
      <x:c r="AD19" s="101" t="str">
        <x:v>2026-08-27</x:v>
      </x:c>
      <x:c r="AE19" s="101" t="str">
        <x:v>NOT_CHECKED</x:v>
      </x:c>
      <x:c r="AF19" s="101" t="str"/>
      <x:c r="AG19" s="101" t="str">
        <x:v>NOT_STARTED</x:v>
      </x:c>
      <x:c r="AH19" s="101" t="str">
        <x:v>SEEDED</x:v>
      </x:c>
      <x:c r="AI19" s="101" t="str">
        <x:v>INTERNAL_ONLY</x:v>
      </x:c>
      <x:c r="AJ19" s="101" t="str">
        <x:v>P1</x:v>
      </x:c>
      <x:c r="AK19" s="101" t="str">
        <x:v>SEASONAL_WEEKLY</x:v>
      </x:c>
      <x:c r="AL19" s="50" t="str"/>
    </x:row>
    <x:row r="20">
      <x:c r="A20" s="83" t="str">
        <x:v>schoolinfo-pending:cau.sen.es.kr</x:v>
      </x:c>
      <x:c r="B20" s="48" t="str">
        <x:v>중앙대학교사범대학부속초등학교</x:v>
      </x:c>
      <x:c r="C20" s="48" t="str"/>
      <x:c r="D20" s="48" t="str"/>
      <x:c r="E20" s="48" t="str"/>
      <x:c r="F20" s="48" t="str">
        <x:v>cau</x:v>
      </x:c>
      <x:c r="G20" s="48" t="str">
        <x:v>PROVISIONAL</x:v>
      </x:c>
      <x:c r="H20" s="48" t="str">
        <x:v>PRIVATE_ELEMENTARY</x:v>
      </x:c>
      <x:c r="I20" s="48" t="str">
        <x:v>PRIVATE_ELEMENTARY_SCHOOL</x:v>
      </x:c>
      <x:c r="J20" s="48" t="str">
        <x:v>서울특별시</x:v>
      </x:c>
      <x:c r="K20" s="48" t="str">
        <x:v>동작구</x:v>
      </x:c>
      <x:c r="L20" s="48" t="str">
        <x:v>서울특별시 동작구 서달로 135</x:v>
      </x:c>
      <x:c r="M20" s="48" t="str">
        <x:v>초등학교(1–6)</x:v>
      </x:c>
      <x:c r="N20" s="95" t="b">
        <x:v>0</x:v>
      </x:c>
      <x:c r="O20" s="95" t="b">
        <x:v>1</x:v>
      </x:c>
      <x:c r="P20" s="95" t="b">
        <x:v>0</x:v>
      </x:c>
      <x:c r="Q20" s="95" t="b">
        <x:v>0</x:v>
      </x:c>
      <x:c r="R20" s="48" t="str"/>
      <x:c r="S20" s="48" t="str"/>
      <x:c r="T20" s="48" t="str">
        <x:v>https://cau.sen.es.kr</x:v>
      </x:c>
      <x:c r="U20" s="48" t="str">
        <x:v>https://cau.sen.es.kr</x:v>
      </x:c>
      <x:c r="V20" s="48" t="str">
        <x:v>cau.sen.es.kr</x:v>
      </x:c>
      <x:c r="W20" s="48" t="str">
        <x:v>SCHOOLINFO</x:v>
      </x:c>
      <x:c r="X20" s="48" t="str"/>
      <x:c r="Y20" s="48" t="str">
        <x:v>PENDING</x:v>
      </x:c>
      <x:c r="Z20" s="48" t="str">
        <x:v>https://www.schoolinfo.go.kr/</x:v>
      </x:c>
      <x:c r="AA20" s="48" t="str">
        <x:v>중앙대학교사범대학부속초등학교 | 서울특별시 동작구 서달로 135</x:v>
      </x:c>
      <x:c r="AB20" s="48" t="str">
        <x:v>ACTIVE</x:v>
      </x:c>
      <x:c r="AC20" s="48" t="str">
        <x:v>VERIFIED_REGISTRY_LIST_RECORD_ID_PENDING</x:v>
      </x:c>
      <x:c r="AD20" s="101" t="str">
        <x:v>2026-08-27</x:v>
      </x:c>
      <x:c r="AE20" s="101" t="str">
        <x:v>NOT_CHECKED</x:v>
      </x:c>
      <x:c r="AF20" s="101" t="str"/>
      <x:c r="AG20" s="101" t="str">
        <x:v>NOT_STARTED</x:v>
      </x:c>
      <x:c r="AH20" s="101" t="str">
        <x:v>SEEDED</x:v>
      </x:c>
      <x:c r="AI20" s="101" t="str">
        <x:v>INTERNAL_ONLY</x:v>
      </x:c>
      <x:c r="AJ20" s="101" t="str">
        <x:v>P1</x:v>
      </x:c>
      <x:c r="AK20" s="101" t="str">
        <x:v>SEASONAL_WEEKLY</x:v>
      </x:c>
      <x:c r="AL20" s="50" t="str">
        <x:v>SchoolInfo deep-link UUID must be reconciled before production import.</x:v>
      </x:c>
    </x:row>
    <x:row r="21">
      <x:c r="A21" s="83" t="str">
        <x:v>schoolinfo:bbc39723-ee2a-4f27-bf7d-1eee81d9fc2a</x:v>
      </x:c>
      <x:c r="B21" s="48" t="str">
        <x:v>홍익대학교사범대학부속초등학교</x:v>
      </x:c>
      <x:c r="C21" s="48" t="str"/>
      <x:c r="D21" s="48" t="str"/>
      <x:c r="E21" s="48" t="str"/>
      <x:c r="F21" s="48" t="str">
        <x:v>hongik</x:v>
      </x:c>
      <x:c r="G21" s="48" t="str">
        <x:v>PROVISIONAL</x:v>
      </x:c>
      <x:c r="H21" s="48" t="str">
        <x:v>PRIVATE_ELEMENTARY</x:v>
      </x:c>
      <x:c r="I21" s="48" t="str">
        <x:v>PRIVATE_ELEMENTARY_SCHOOL</x:v>
      </x:c>
      <x:c r="J21" s="48" t="str">
        <x:v>서울특별시</x:v>
      </x:c>
      <x:c r="K21" s="48" t="str">
        <x:v>마포구</x:v>
      </x:c>
      <x:c r="L21" s="48" t="str">
        <x:v>서울특별시 마포구 성미산로 51</x:v>
      </x:c>
      <x:c r="M21" s="48" t="str">
        <x:v>초등학교(1–6)</x:v>
      </x:c>
      <x:c r="N21" s="95" t="b">
        <x:v>0</x:v>
      </x:c>
      <x:c r="O21" s="95" t="b">
        <x:v>1</x:v>
      </x:c>
      <x:c r="P21" s="95" t="b">
        <x:v>0</x:v>
      </x:c>
      <x:c r="Q21" s="95" t="b">
        <x:v>0</x:v>
      </x:c>
      <x:c r="R21" s="48" t="str"/>
      <x:c r="S21" s="48" t="str"/>
      <x:c r="T21" s="48" t="str">
        <x:v>http://hongik.sen.es.kr</x:v>
      </x:c>
      <x:c r="U21" s="48" t="str">
        <x:v>http://hongik.sen.es.kr</x:v>
      </x:c>
      <x:c r="V21" s="48" t="str">
        <x:v>hongik.sen.es.kr</x:v>
      </x:c>
      <x:c r="W21" s="48" t="str">
        <x:v>SCHOOLINFO</x:v>
      </x:c>
      <x:c r="X21" s="48" t="str">
        <x:v>bbc39723-ee2a-4f27-bf7d-1eee81d9fc2a</x:v>
      </x:c>
      <x:c r="Y21" s="48" t="str">
        <x:v>RESOLVED</x:v>
      </x:c>
      <x:c r="Z21" s="48" t="str">
        <x:v>https://www.schoolinfo.go.kr/ei/ss/Pneiss_b01_s0.do?SHL_IDF_CD=bbc39723-ee2a-4f27-bf7d-1eee81d9fc2a</x:v>
      </x:c>
      <x:c r="AA21" s="48" t="str">
        <x:v>홍익대학교사범대학부속초등학교 | 서울특별시 마포구 성미산로 51</x:v>
      </x:c>
      <x:c r="AB21" s="48" t="str">
        <x:v>ACTIVE</x:v>
      </x:c>
      <x:c r="AC21" s="48" t="str">
        <x:v>VERIFIED_OFFICIAL_REGISTRY</x:v>
      </x:c>
      <x:c r="AD21" s="101" t="str">
        <x:v>2026-08-27</x:v>
      </x:c>
      <x:c r="AE21" s="101" t="str">
        <x:v>NOT_CHECKED</x:v>
      </x:c>
      <x:c r="AF21" s="101" t="str"/>
      <x:c r="AG21" s="101" t="str">
        <x:v>NOT_STARTED</x:v>
      </x:c>
      <x:c r="AH21" s="101" t="str">
        <x:v>SEEDED</x:v>
      </x:c>
      <x:c r="AI21" s="101" t="str">
        <x:v>INTERNAL_ONLY</x:v>
      </x:c>
      <x:c r="AJ21" s="101" t="str">
        <x:v>P1</x:v>
      </x:c>
      <x:c r="AK21" s="101" t="str">
        <x:v>SEASONAL_WEEKLY</x:v>
      </x:c>
      <x:c r="AL21" s="50" t="str"/>
    </x:row>
    <x:row r="22">
      <x:c r="A22" s="83" t="str">
        <x:v>schoolinfo:f822df6f-a44d-4b0d-8ba8-b828775062d2</x:v>
      </x:c>
      <x:c r="B22" s="48" t="str">
        <x:v>경기초등학교</x:v>
      </x:c>
      <x:c r="C22" s="48" t="str"/>
      <x:c r="D22" s="48" t="str"/>
      <x:c r="E22" s="48" t="str"/>
      <x:c r="F22" s="48" t="str">
        <x:v>kyonggi</x:v>
      </x:c>
      <x:c r="G22" s="48" t="str">
        <x:v>PROVISIONAL</x:v>
      </x:c>
      <x:c r="H22" s="48" t="str">
        <x:v>PRIVATE_ELEMENTARY</x:v>
      </x:c>
      <x:c r="I22" s="48" t="str">
        <x:v>PRIVATE_ELEMENTARY_SCHOOL</x:v>
      </x:c>
      <x:c r="J22" s="48" t="str">
        <x:v>서울특별시</x:v>
      </x:c>
      <x:c r="K22" s="48" t="str">
        <x:v>서대문구</x:v>
      </x:c>
      <x:c r="L22" s="48" t="str">
        <x:v>서울특별시 서대문구 경기대로9길 10</x:v>
      </x:c>
      <x:c r="M22" s="48" t="str">
        <x:v>초등학교(1–6)</x:v>
      </x:c>
      <x:c r="N22" s="95" t="b">
        <x:v>0</x:v>
      </x:c>
      <x:c r="O22" s="95" t="b">
        <x:v>1</x:v>
      </x:c>
      <x:c r="P22" s="95" t="b">
        <x:v>0</x:v>
      </x:c>
      <x:c r="Q22" s="95" t="b">
        <x:v>0</x:v>
      </x:c>
      <x:c r="R22" s="48" t="str"/>
      <x:c r="S22" s="48" t="str"/>
      <x:c r="T22" s="48" t="str">
        <x:v>http://kyonggi.sen.es.kr</x:v>
      </x:c>
      <x:c r="U22" s="48" t="str">
        <x:v>http://kyonggi.sen.es.kr</x:v>
      </x:c>
      <x:c r="V22" s="48" t="str">
        <x:v>kyonggi.sen.es.kr</x:v>
      </x:c>
      <x:c r="W22" s="48" t="str">
        <x:v>SCHOOLINFO</x:v>
      </x:c>
      <x:c r="X22" s="48" t="str">
        <x:v>f822df6f-a44d-4b0d-8ba8-b828775062d2</x:v>
      </x:c>
      <x:c r="Y22" s="48" t="str">
        <x:v>RESOLVED</x:v>
      </x:c>
      <x:c r="Z22" s="48" t="str">
        <x:v>https://www.schoolinfo.go.kr/ei/ss/Pneiss_b01_s0.do?SHL_IDF_CD=f822df6f-a44d-4b0d-8ba8-b828775062d2</x:v>
      </x:c>
      <x:c r="AA22" s="48" t="str">
        <x:v>경기초등학교 | 서울특별시 서대문구 경기대로9길 10</x:v>
      </x:c>
      <x:c r="AB22" s="48" t="str">
        <x:v>ACTIVE</x:v>
      </x:c>
      <x:c r="AC22" s="48" t="str">
        <x:v>VERIFIED_OFFICIAL_REGISTRY</x:v>
      </x:c>
      <x:c r="AD22" s="101" t="str">
        <x:v>2026-08-27</x:v>
      </x:c>
      <x:c r="AE22" s="101" t="str">
        <x:v>NOT_CHECKED</x:v>
      </x:c>
      <x:c r="AF22" s="101" t="str"/>
      <x:c r="AG22" s="101" t="str">
        <x:v>NOT_STARTED</x:v>
      </x:c>
      <x:c r="AH22" s="101" t="str">
        <x:v>SEEDED</x:v>
      </x:c>
      <x:c r="AI22" s="101" t="str">
        <x:v>INTERNAL_ONLY</x:v>
      </x:c>
      <x:c r="AJ22" s="101" t="str">
        <x:v>P1</x:v>
      </x:c>
      <x:c r="AK22" s="101" t="str">
        <x:v>SEASONAL_WEEKLY</x:v>
      </x:c>
      <x:c r="AL22" s="50" t="str"/>
    </x:row>
    <x:row r="23">
      <x:c r="A23" s="83" t="str">
        <x:v>schoolinfo:be2cca1a-1706-4546-917d-acfc5a8df2e0</x:v>
      </x:c>
      <x:c r="B23" s="48" t="str">
        <x:v>명지초등학교</x:v>
      </x:c>
      <x:c r="C23" s="48" t="str"/>
      <x:c r="D23" s="48" t="str"/>
      <x:c r="E23" s="48" t="str"/>
      <x:c r="F23" s="48" t="str">
        <x:v>myongji</x:v>
      </x:c>
      <x:c r="G23" s="48" t="str">
        <x:v>PROVISIONAL</x:v>
      </x:c>
      <x:c r="H23" s="48" t="str">
        <x:v>PRIVATE_ELEMENTARY</x:v>
      </x:c>
      <x:c r="I23" s="48" t="str">
        <x:v>PRIVATE_ELEMENTARY_SCHOOL</x:v>
      </x:c>
      <x:c r="J23" s="48" t="str">
        <x:v>서울특별시</x:v>
      </x:c>
      <x:c r="K23" s="48" t="str">
        <x:v>서대문구</x:v>
      </x:c>
      <x:c r="L23" s="48" t="str">
        <x:v>서울특별시 서대문구 명지2길 32-20</x:v>
      </x:c>
      <x:c r="M23" s="48" t="str">
        <x:v>초등학교(1–6)</x:v>
      </x:c>
      <x:c r="N23" s="95" t="b">
        <x:v>0</x:v>
      </x:c>
      <x:c r="O23" s="95" t="b">
        <x:v>1</x:v>
      </x:c>
      <x:c r="P23" s="95" t="b">
        <x:v>0</x:v>
      </x:c>
      <x:c r="Q23" s="95" t="b">
        <x:v>0</x:v>
      </x:c>
      <x:c r="R23" s="48" t="str"/>
      <x:c r="S23" s="48" t="str"/>
      <x:c r="T23" s="48" t="str">
        <x:v>http://www.myongji.net</x:v>
      </x:c>
      <x:c r="U23" s="48" t="str">
        <x:v>http://www.myongji.net</x:v>
      </x:c>
      <x:c r="V23" s="48" t="str">
        <x:v>myongji.net</x:v>
      </x:c>
      <x:c r="W23" s="48" t="str">
        <x:v>SCHOOLINFO</x:v>
      </x:c>
      <x:c r="X23" s="48" t="str">
        <x:v>be2cca1a-1706-4546-917d-acfc5a8df2e0</x:v>
      </x:c>
      <x:c r="Y23" s="48" t="str">
        <x:v>RESOLVED</x:v>
      </x:c>
      <x:c r="Z23" s="48" t="str">
        <x:v>https://www.schoolinfo.go.kr/ei/ss/Pneiss_b01_s0.do?SHL_IDF_CD=be2cca1a-1706-4546-917d-acfc5a8df2e0</x:v>
      </x:c>
      <x:c r="AA23" s="48" t="str">
        <x:v>명지초등학교 | 서울특별시 서대문구 명지2길 32-20</x:v>
      </x:c>
      <x:c r="AB23" s="48" t="str">
        <x:v>ACTIVE</x:v>
      </x:c>
      <x:c r="AC23" s="48" t="str">
        <x:v>VERIFIED_OFFICIAL_REGISTRY</x:v>
      </x:c>
      <x:c r="AD23" s="101" t="str">
        <x:v>2026-08-27</x:v>
      </x:c>
      <x:c r="AE23" s="101" t="str">
        <x:v>NOT_CHECKED</x:v>
      </x:c>
      <x:c r="AF23" s="101" t="str"/>
      <x:c r="AG23" s="101" t="str">
        <x:v>NOT_STARTED</x:v>
      </x:c>
      <x:c r="AH23" s="101" t="str">
        <x:v>SEEDED</x:v>
      </x:c>
      <x:c r="AI23" s="101" t="str">
        <x:v>INTERNAL_ONLY</x:v>
      </x:c>
      <x:c r="AJ23" s="101" t="str">
        <x:v>P1</x:v>
      </x:c>
      <x:c r="AK23" s="101" t="str">
        <x:v>SEASONAL_WEEKLY</x:v>
      </x:c>
      <x:c r="AL23" s="50" t="str"/>
    </x:row>
    <x:row r="24">
      <x:c r="A24" s="83" t="str">
        <x:v>schoolinfo:ef0648a7-a4eb-4863-a5a3-8343cbae9371</x:v>
      </x:c>
      <x:c r="B24" s="48" t="str">
        <x:v>이화여자대학교사범대학부속초등학교</x:v>
      </x:c>
      <x:c r="C24" s="48" t="str"/>
      <x:c r="D24" s="48" t="str"/>
      <x:c r="E24" s="48" t="str"/>
      <x:c r="F24" s="48" t="str">
        <x:v>ewha</x:v>
      </x:c>
      <x:c r="G24" s="48" t="str">
        <x:v>PROVISIONAL</x:v>
      </x:c>
      <x:c r="H24" s="48" t="str">
        <x:v>PRIVATE_ELEMENTARY</x:v>
      </x:c>
      <x:c r="I24" s="48" t="str">
        <x:v>PRIVATE_ELEMENTARY_SCHOOL</x:v>
      </x:c>
      <x:c r="J24" s="48" t="str">
        <x:v>서울특별시</x:v>
      </x:c>
      <x:c r="K24" s="48" t="str">
        <x:v>서대문구</x:v>
      </x:c>
      <x:c r="L24" s="48" t="str">
        <x:v>서울특별시 서대문구 성산로 512-39</x:v>
      </x:c>
      <x:c r="M24" s="48" t="str">
        <x:v>초등학교(1–6)</x:v>
      </x:c>
      <x:c r="N24" s="95" t="b">
        <x:v>0</x:v>
      </x:c>
      <x:c r="O24" s="95" t="b">
        <x:v>1</x:v>
      </x:c>
      <x:c r="P24" s="95" t="b">
        <x:v>0</x:v>
      </x:c>
      <x:c r="Q24" s="95" t="b">
        <x:v>0</x:v>
      </x:c>
      <x:c r="R24" s="48" t="str"/>
      <x:c r="S24" s="48" t="str"/>
      <x:c r="T24" s="48" t="str">
        <x:v>http://ewha.sen.es.kr</x:v>
      </x:c>
      <x:c r="U24" s="48" t="str">
        <x:v>http://ewha.sen.es.kr</x:v>
      </x:c>
      <x:c r="V24" s="48" t="str">
        <x:v>ewha.sen.es.kr</x:v>
      </x:c>
      <x:c r="W24" s="48" t="str">
        <x:v>SCHOOLINFO</x:v>
      </x:c>
      <x:c r="X24" s="48" t="str">
        <x:v>ef0648a7-a4eb-4863-a5a3-8343cbae9371</x:v>
      </x:c>
      <x:c r="Y24" s="48" t="str">
        <x:v>RESOLVED</x:v>
      </x:c>
      <x:c r="Z24" s="48" t="str">
        <x:v>https://www.schoolinfo.go.kr/ei/ss/Pneiss_b01_s0.do?SHL_IDF_CD=ef0648a7-a4eb-4863-a5a3-8343cbae9371</x:v>
      </x:c>
      <x:c r="AA24" s="48" t="str">
        <x:v>이화여자대학교사범대학부속초등학교 | 서울특별시 서대문구 성산로 512-39</x:v>
      </x:c>
      <x:c r="AB24" s="48" t="str">
        <x:v>ACTIVE</x:v>
      </x:c>
      <x:c r="AC24" s="48" t="str">
        <x:v>VERIFIED_OFFICIAL_REGISTRY</x:v>
      </x:c>
      <x:c r="AD24" s="101" t="str">
        <x:v>2026-08-27</x:v>
      </x:c>
      <x:c r="AE24" s="101" t="str">
        <x:v>NOT_CHECKED</x:v>
      </x:c>
      <x:c r="AF24" s="101" t="str"/>
      <x:c r="AG24" s="101" t="str">
        <x:v>NOT_STARTED</x:v>
      </x:c>
      <x:c r="AH24" s="101" t="str">
        <x:v>SEEDED</x:v>
      </x:c>
      <x:c r="AI24" s="101" t="str">
        <x:v>INTERNAL_ONLY</x:v>
      </x:c>
      <x:c r="AJ24" s="101" t="str">
        <x:v>P1</x:v>
      </x:c>
      <x:c r="AK24" s="101" t="str">
        <x:v>SEASONAL_WEEKLY</x:v>
      </x:c>
      <x:c r="AL24" s="50" t="str"/>
    </x:row>
    <x:row r="25">
      <x:c r="A25" s="83" t="str">
        <x:v>schoolinfo:940f3bac-a31e-4007-b00e-2a8941d8c9d2</x:v>
      </x:c>
      <x:c r="B25" s="48" t="str">
        <x:v>추계초등학교</x:v>
      </x:c>
      <x:c r="C25" s="48" t="str"/>
      <x:c r="D25" s="48" t="str"/>
      <x:c r="E25" s="48" t="str"/>
      <x:c r="F25" s="48" t="str">
        <x:v>chugye</x:v>
      </x:c>
      <x:c r="G25" s="48" t="str">
        <x:v>PROVISIONAL</x:v>
      </x:c>
      <x:c r="H25" s="48" t="str">
        <x:v>PRIVATE_ELEMENTARY</x:v>
      </x:c>
      <x:c r="I25" s="48" t="str">
        <x:v>PRIVATE_ELEMENTARY_SCHOOL</x:v>
      </x:c>
      <x:c r="J25" s="48" t="str">
        <x:v>서울특별시</x:v>
      </x:c>
      <x:c r="K25" s="48" t="str">
        <x:v>서대문구</x:v>
      </x:c>
      <x:c r="L25" s="48" t="str">
        <x:v>서울특별시 서대문구 북아현로11가길 7</x:v>
      </x:c>
      <x:c r="M25" s="48" t="str">
        <x:v>초등학교(1–6)</x:v>
      </x:c>
      <x:c r="N25" s="95" t="b">
        <x:v>0</x:v>
      </x:c>
      <x:c r="O25" s="95" t="b">
        <x:v>1</x:v>
      </x:c>
      <x:c r="P25" s="95" t="b">
        <x:v>0</x:v>
      </x:c>
      <x:c r="Q25" s="95" t="b">
        <x:v>0</x:v>
      </x:c>
      <x:c r="R25" s="48" t="str"/>
      <x:c r="S25" s="48" t="str"/>
      <x:c r="T25" s="48" t="str">
        <x:v>http://chugye.sen.es.kr</x:v>
      </x:c>
      <x:c r="U25" s="48" t="str">
        <x:v>http://chugye.sen.es.kr</x:v>
      </x:c>
      <x:c r="V25" s="48" t="str">
        <x:v>chugye.sen.es.kr</x:v>
      </x:c>
      <x:c r="W25" s="48" t="str">
        <x:v>SCHOOLINFO</x:v>
      </x:c>
      <x:c r="X25" s="48" t="str">
        <x:v>940f3bac-a31e-4007-b00e-2a8941d8c9d2</x:v>
      </x:c>
      <x:c r="Y25" s="48" t="str">
        <x:v>RESOLVED</x:v>
      </x:c>
      <x:c r="Z25" s="48" t="str">
        <x:v>https://www.schoolinfo.go.kr/ei/ss/Pneiss_b01_s0.do?SHL_IDF_CD=940f3bac-a31e-4007-b00e-2a8941d8c9d2</x:v>
      </x:c>
      <x:c r="AA25" s="48" t="str">
        <x:v>추계초등학교 | 서울특별시 서대문구 북아현로11가길 7</x:v>
      </x:c>
      <x:c r="AB25" s="48" t="str">
        <x:v>ACTIVE</x:v>
      </x:c>
      <x:c r="AC25" s="48" t="str">
        <x:v>VERIFIED_OFFICIAL_REGISTRY</x:v>
      </x:c>
      <x:c r="AD25" s="101" t="str">
        <x:v>2026-08-27</x:v>
      </x:c>
      <x:c r="AE25" s="101" t="str">
        <x:v>NOT_CHECKED</x:v>
      </x:c>
      <x:c r="AF25" s="101" t="str"/>
      <x:c r="AG25" s="101" t="str">
        <x:v>NOT_STARTED</x:v>
      </x:c>
      <x:c r="AH25" s="101" t="str">
        <x:v>SEEDED</x:v>
      </x:c>
      <x:c r="AI25" s="101" t="str">
        <x:v>INTERNAL_ONLY</x:v>
      </x:c>
      <x:c r="AJ25" s="101" t="str">
        <x:v>P1</x:v>
      </x:c>
      <x:c r="AK25" s="101" t="str">
        <x:v>SEASONAL_WEEKLY</x:v>
      </x:c>
      <x:c r="AL25" s="50" t="str"/>
    </x:row>
    <x:row r="26">
      <x:c r="A26" s="83" t="str">
        <x:v>schoolinfo:c2f9d7a4-71ba-46b8-8f8e-e59c7659af70</x:v>
      </x:c>
      <x:c r="B26" s="48" t="str">
        <x:v>계성초등학교</x:v>
      </x:c>
      <x:c r="C26" s="48" t="str"/>
      <x:c r="D26" s="48" t="str"/>
      <x:c r="E26" s="48" t="str"/>
      <x:c r="F26" s="48" t="str">
        <x:v>gyeseong1882</x:v>
      </x:c>
      <x:c r="G26" s="48" t="str">
        <x:v>PROVISIONAL</x:v>
      </x:c>
      <x:c r="H26" s="48" t="str">
        <x:v>PRIVATE_ELEMENTARY</x:v>
      </x:c>
      <x:c r="I26" s="48" t="str">
        <x:v>PRIVATE_ELEMENTARY_SCHOOL</x:v>
      </x:c>
      <x:c r="J26" s="48" t="str">
        <x:v>서울특별시</x:v>
      </x:c>
      <x:c r="K26" s="48" t="str">
        <x:v>서초구</x:v>
      </x:c>
      <x:c r="L26" s="48" t="str">
        <x:v>서울특별시 서초구 신반포로19길 23</x:v>
      </x:c>
      <x:c r="M26" s="48" t="str">
        <x:v>초등학교(1–6)</x:v>
      </x:c>
      <x:c r="N26" s="95" t="b">
        <x:v>0</x:v>
      </x:c>
      <x:c r="O26" s="95" t="b">
        <x:v>1</x:v>
      </x:c>
      <x:c r="P26" s="95" t="b">
        <x:v>0</x:v>
      </x:c>
      <x:c r="Q26" s="95" t="b">
        <x:v>0</x:v>
      </x:c>
      <x:c r="R26" s="48" t="str"/>
      <x:c r="S26" s="48" t="str"/>
      <x:c r="T26" s="48" t="str">
        <x:v>http://www.gyeseong1882.es.kr</x:v>
      </x:c>
      <x:c r="U26" s="48" t="str">
        <x:v>http://www.gyeseong1882.es.kr</x:v>
      </x:c>
      <x:c r="V26" s="48" t="str">
        <x:v>gyeseong1882.es.kr</x:v>
      </x:c>
      <x:c r="W26" s="48" t="str">
        <x:v>SCHOOLINFO</x:v>
      </x:c>
      <x:c r="X26" s="48" t="str">
        <x:v>c2f9d7a4-71ba-46b8-8f8e-e59c7659af70</x:v>
      </x:c>
      <x:c r="Y26" s="48" t="str">
        <x:v>RESOLVED</x:v>
      </x:c>
      <x:c r="Z26" s="48" t="str">
        <x:v>https://www.schoolinfo.go.kr/ei/ss/Pneiss_b01_s0.do?SHL_IDF_CD=c2f9d7a4-71ba-46b8-8f8e-e59c7659af70</x:v>
      </x:c>
      <x:c r="AA26" s="48" t="str">
        <x:v>계성초등학교 | 서울특별시 서초구 신반포로19길 23</x:v>
      </x:c>
      <x:c r="AB26" s="48" t="str">
        <x:v>ACTIVE</x:v>
      </x:c>
      <x:c r="AC26" s="48" t="str">
        <x:v>VERIFIED_OFFICIAL_REGISTRY</x:v>
      </x:c>
      <x:c r="AD26" s="101" t="str">
        <x:v>2026-08-27</x:v>
      </x:c>
      <x:c r="AE26" s="101" t="str">
        <x:v>NOT_CHECKED</x:v>
      </x:c>
      <x:c r="AF26" s="101" t="str"/>
      <x:c r="AG26" s="101" t="str">
        <x:v>NOT_STARTED</x:v>
      </x:c>
      <x:c r="AH26" s="101" t="str">
        <x:v>SEEDED</x:v>
      </x:c>
      <x:c r="AI26" s="101" t="str">
        <x:v>INTERNAL_ONLY</x:v>
      </x:c>
      <x:c r="AJ26" s="101" t="str">
        <x:v>P1</x:v>
      </x:c>
      <x:c r="AK26" s="101" t="str">
        <x:v>SEASONAL_WEEKLY</x:v>
      </x:c>
      <x:c r="AL26" s="50" t="str"/>
    </x:row>
    <x:row r="27">
      <x:c r="A27" s="83" t="str">
        <x:v>schoolinfo:8bc3c248-5e5a-4278-a149-737222501934</x:v>
      </x:c>
      <x:c r="B27" s="48" t="str">
        <x:v>한양초등학교</x:v>
      </x:c>
      <x:c r="C27" s="48" t="str"/>
      <x:c r="D27" s="48" t="str"/>
      <x:c r="E27" s="48" t="str"/>
      <x:c r="F27" s="48" t="str">
        <x:v>hye</x:v>
      </x:c>
      <x:c r="G27" s="48" t="str">
        <x:v>PROVISIONAL</x:v>
      </x:c>
      <x:c r="H27" s="48" t="str">
        <x:v>PRIVATE_ELEMENTARY</x:v>
      </x:c>
      <x:c r="I27" s="48" t="str">
        <x:v>PRIVATE_ELEMENTARY_SCHOOL</x:v>
      </x:c>
      <x:c r="J27" s="48" t="str">
        <x:v>서울특별시</x:v>
      </x:c>
      <x:c r="K27" s="48" t="str">
        <x:v>성동구</x:v>
      </x:c>
      <x:c r="L27" s="48" t="str">
        <x:v>서울특별시 성동구 살곶이길 208</x:v>
      </x:c>
      <x:c r="M27" s="48" t="str">
        <x:v>초등학교(1–6)</x:v>
      </x:c>
      <x:c r="N27" s="95" t="b">
        <x:v>0</x:v>
      </x:c>
      <x:c r="O27" s="95" t="b">
        <x:v>1</x:v>
      </x:c>
      <x:c r="P27" s="95" t="b">
        <x:v>0</x:v>
      </x:c>
      <x:c r="Q27" s="95" t="b">
        <x:v>0</x:v>
      </x:c>
      <x:c r="R27" s="48" t="str"/>
      <x:c r="S27" s="48" t="str"/>
      <x:c r="T27" s="48" t="str">
        <x:v>http://www.hye.or.kr</x:v>
      </x:c>
      <x:c r="U27" s="48" t="str">
        <x:v>http://www.hye.or.kr</x:v>
      </x:c>
      <x:c r="V27" s="48" t="str">
        <x:v>hye.or.kr</x:v>
      </x:c>
      <x:c r="W27" s="48" t="str">
        <x:v>SCHOOLINFO</x:v>
      </x:c>
      <x:c r="X27" s="48" t="str">
        <x:v>8bc3c248-5e5a-4278-a149-737222501934</x:v>
      </x:c>
      <x:c r="Y27" s="48" t="str">
        <x:v>RESOLVED</x:v>
      </x:c>
      <x:c r="Z27" s="48" t="str">
        <x:v>https://www.schoolinfo.go.kr/ei/ss/Pneiss_b01_s0.do?SHL_IDF_CD=8bc3c248-5e5a-4278-a149-737222501934</x:v>
      </x:c>
      <x:c r="AA27" s="48" t="str">
        <x:v>한양초등학교 | 서울특별시 성동구 살곶이길 208</x:v>
      </x:c>
      <x:c r="AB27" s="48" t="str">
        <x:v>ACTIVE</x:v>
      </x:c>
      <x:c r="AC27" s="48" t="str">
        <x:v>VERIFIED_OFFICIAL_REGISTRY</x:v>
      </x:c>
      <x:c r="AD27" s="101" t="str">
        <x:v>2026-08-27</x:v>
      </x:c>
      <x:c r="AE27" s="101" t="str">
        <x:v>NOT_CHECKED</x:v>
      </x:c>
      <x:c r="AF27" s="101" t="str"/>
      <x:c r="AG27" s="101" t="str">
        <x:v>NOT_STARTED</x:v>
      </x:c>
      <x:c r="AH27" s="101" t="str">
        <x:v>SEEDED</x:v>
      </x:c>
      <x:c r="AI27" s="101" t="str">
        <x:v>INTERNAL_ONLY</x:v>
      </x:c>
      <x:c r="AJ27" s="101" t="str">
        <x:v>P1</x:v>
      </x:c>
      <x:c r="AK27" s="101" t="str">
        <x:v>SEASONAL_WEEKLY</x:v>
      </x:c>
      <x:c r="AL27" s="50" t="str"/>
    </x:row>
    <x:row r="28">
      <x:c r="A28" s="83" t="str">
        <x:v>schoolinfo:65f954be-36fd-4012-87c3-4051b07a4012</x:v>
      </x:c>
      <x:c r="B28" s="48" t="str">
        <x:v>광운초등학교</x:v>
      </x:c>
      <x:c r="C28" s="48" t="str"/>
      <x:c r="D28" s="48" t="str"/>
      <x:c r="E28" s="48" t="str"/>
      <x:c r="F28" s="48" t="str">
        <x:v>kwangwoon</x:v>
      </x:c>
      <x:c r="G28" s="48" t="str">
        <x:v>PROVISIONAL</x:v>
      </x:c>
      <x:c r="H28" s="48" t="str">
        <x:v>PRIVATE_ELEMENTARY</x:v>
      </x:c>
      <x:c r="I28" s="48" t="str">
        <x:v>PRIVATE_ELEMENTARY_SCHOOL</x:v>
      </x:c>
      <x:c r="J28" s="48" t="str">
        <x:v>서울특별시</x:v>
      </x:c>
      <x:c r="K28" s="48" t="str">
        <x:v>성북구</x:v>
      </x:c>
      <x:c r="L28" s="48" t="str">
        <x:v>서울특별시 성북구 한천로 694</x:v>
      </x:c>
      <x:c r="M28" s="48" t="str">
        <x:v>초등학교(1–6)</x:v>
      </x:c>
      <x:c r="N28" s="95" t="b">
        <x:v>0</x:v>
      </x:c>
      <x:c r="O28" s="95" t="b">
        <x:v>1</x:v>
      </x:c>
      <x:c r="P28" s="95" t="b">
        <x:v>0</x:v>
      </x:c>
      <x:c r="Q28" s="95" t="b">
        <x:v>0</x:v>
      </x:c>
      <x:c r="R28" s="48" t="str"/>
      <x:c r="S28" s="48" t="str"/>
      <x:c r="T28" s="48" t="str">
        <x:v>http://kwangwoon.sen.es.kr</x:v>
      </x:c>
      <x:c r="U28" s="48" t="str">
        <x:v>http://kwangwoon.sen.es.kr</x:v>
      </x:c>
      <x:c r="V28" s="48" t="str">
        <x:v>kwangwoon.sen.es.kr</x:v>
      </x:c>
      <x:c r="W28" s="48" t="str">
        <x:v>SCHOOLINFO</x:v>
      </x:c>
      <x:c r="X28" s="48" t="str">
        <x:v>65f954be-36fd-4012-87c3-4051b07a4012</x:v>
      </x:c>
      <x:c r="Y28" s="48" t="str">
        <x:v>RESOLVED</x:v>
      </x:c>
      <x:c r="Z28" s="48" t="str">
        <x:v>https://www.schoolinfo.go.kr/ei/ss/Pneiss_b01_s0.do?SHL_IDF_CD=65f954be-36fd-4012-87c3-4051b07a4012</x:v>
      </x:c>
      <x:c r="AA28" s="48" t="str">
        <x:v>광운초등학교 | 서울특별시 성북구 한천로 694</x:v>
      </x:c>
      <x:c r="AB28" s="48" t="str">
        <x:v>ACTIVE</x:v>
      </x:c>
      <x:c r="AC28" s="48" t="str">
        <x:v>VERIFIED_OFFICIAL_REGISTRY</x:v>
      </x:c>
      <x:c r="AD28" s="101" t="str">
        <x:v>2026-08-27</x:v>
      </x:c>
      <x:c r="AE28" s="101" t="str">
        <x:v>NOT_CHECKED</x:v>
      </x:c>
      <x:c r="AF28" s="101" t="str"/>
      <x:c r="AG28" s="101" t="str">
        <x:v>NOT_STARTED</x:v>
      </x:c>
      <x:c r="AH28" s="101" t="str">
        <x:v>SEEDED</x:v>
      </x:c>
      <x:c r="AI28" s="101" t="str">
        <x:v>INTERNAL_ONLY</x:v>
      </x:c>
      <x:c r="AJ28" s="101" t="str">
        <x:v>P1</x:v>
      </x:c>
      <x:c r="AK28" s="101" t="str">
        <x:v>SEASONAL_WEEKLY</x:v>
      </x:c>
      <x:c r="AL28" s="50" t="str"/>
    </x:row>
    <x:row r="29">
      <x:c r="A29" s="83" t="str">
        <x:v>schoolinfo:778effb5-d9b1-4fac-9c3a-67e3908ee13e</x:v>
      </x:c>
      <x:c r="B29" s="48" t="str">
        <x:v>대광초등학교</x:v>
      </x:c>
      <x:c r="C29" s="48" t="str"/>
      <x:c r="D29" s="48" t="str"/>
      <x:c r="E29" s="48" t="str"/>
      <x:c r="F29" s="48" t="str">
        <x:v>daegwang</x:v>
      </x:c>
      <x:c r="G29" s="48" t="str">
        <x:v>PROVISIONAL</x:v>
      </x:c>
      <x:c r="H29" s="48" t="str">
        <x:v>PRIVATE_ELEMENTARY</x:v>
      </x:c>
      <x:c r="I29" s="48" t="str">
        <x:v>PRIVATE_ELEMENTARY_SCHOOL</x:v>
      </x:c>
      <x:c r="J29" s="48" t="str">
        <x:v>서울특별시</x:v>
      </x:c>
      <x:c r="K29" s="48" t="str">
        <x:v>성북구</x:v>
      </x:c>
      <x:c r="L29" s="48" t="str">
        <x:v>서울특별시 성북구 안암로 5</x:v>
      </x:c>
      <x:c r="M29" s="48" t="str">
        <x:v>초등학교(1–6)</x:v>
      </x:c>
      <x:c r="N29" s="95" t="b">
        <x:v>0</x:v>
      </x:c>
      <x:c r="O29" s="95" t="b">
        <x:v>1</x:v>
      </x:c>
      <x:c r="P29" s="95" t="b">
        <x:v>0</x:v>
      </x:c>
      <x:c r="Q29" s="95" t="b">
        <x:v>0</x:v>
      </x:c>
      <x:c r="R29" s="48" t="str"/>
      <x:c r="S29" s="48" t="str"/>
      <x:c r="T29" s="48" t="str">
        <x:v>http://daegwang.sen.es.kr</x:v>
      </x:c>
      <x:c r="U29" s="48" t="str">
        <x:v>http://daegwang.sen.es.kr</x:v>
      </x:c>
      <x:c r="V29" s="48" t="str">
        <x:v>daegwang.sen.es.kr</x:v>
      </x:c>
      <x:c r="W29" s="48" t="str">
        <x:v>SCHOOLINFO</x:v>
      </x:c>
      <x:c r="X29" s="48" t="str">
        <x:v>778effb5-d9b1-4fac-9c3a-67e3908ee13e</x:v>
      </x:c>
      <x:c r="Y29" s="48" t="str">
        <x:v>RESOLVED</x:v>
      </x:c>
      <x:c r="Z29" s="48" t="str">
        <x:v>https://www.schoolinfo.go.kr/ei/ss/Pneiss_b01_s0.do?SHL_IDF_CD=778effb5-d9b1-4fac-9c3a-67e3908ee13e</x:v>
      </x:c>
      <x:c r="AA29" s="48" t="str">
        <x:v>대광초등학교 | 서울특별시 성북구 안암로 5</x:v>
      </x:c>
      <x:c r="AB29" s="48" t="str">
        <x:v>ACTIVE</x:v>
      </x:c>
      <x:c r="AC29" s="48" t="str">
        <x:v>VERIFIED_OFFICIAL_REGISTRY</x:v>
      </x:c>
      <x:c r="AD29" s="101" t="str">
        <x:v>2026-08-27</x:v>
      </x:c>
      <x:c r="AE29" s="101" t="str">
        <x:v>NOT_CHECKED</x:v>
      </x:c>
      <x:c r="AF29" s="101" t="str"/>
      <x:c r="AG29" s="101" t="str">
        <x:v>NOT_STARTED</x:v>
      </x:c>
      <x:c r="AH29" s="101" t="str">
        <x:v>SEEDED</x:v>
      </x:c>
      <x:c r="AI29" s="101" t="str">
        <x:v>INTERNAL_ONLY</x:v>
      </x:c>
      <x:c r="AJ29" s="101" t="str">
        <x:v>P1</x:v>
      </x:c>
      <x:c r="AK29" s="101" t="str">
        <x:v>SEASONAL_WEEKLY</x:v>
      </x:c>
      <x:c r="AL29" s="50" t="str"/>
    </x:row>
    <x:row r="30">
      <x:c r="A30" s="83" t="str">
        <x:v>schoolinfo:9218020d-ddfd-4a75-be96-7bf6262b8b8f</x:v>
      </x:c>
      <x:c r="B30" s="48" t="str">
        <x:v>매원초등학교</x:v>
      </x:c>
      <x:c r="C30" s="48" t="str"/>
      <x:c r="D30" s="48" t="str"/>
      <x:c r="E30" s="48" t="str"/>
      <x:c r="F30" s="48" t="str">
        <x:v>maewon</x:v>
      </x:c>
      <x:c r="G30" s="48" t="str">
        <x:v>PROVISIONAL</x:v>
      </x:c>
      <x:c r="H30" s="48" t="str">
        <x:v>PRIVATE_ELEMENTARY</x:v>
      </x:c>
      <x:c r="I30" s="48" t="str">
        <x:v>PRIVATE_ELEMENTARY_SCHOOL</x:v>
      </x:c>
      <x:c r="J30" s="48" t="str">
        <x:v>서울특별시</x:v>
      </x:c>
      <x:c r="K30" s="48" t="str">
        <x:v>성북구</x:v>
      </x:c>
      <x:c r="L30" s="48" t="str">
        <x:v>서울특별시 성북구 북악산로 870</x:v>
      </x:c>
      <x:c r="M30" s="48" t="str">
        <x:v>초등학교(1–6)</x:v>
      </x:c>
      <x:c r="N30" s="95" t="b">
        <x:v>0</x:v>
      </x:c>
      <x:c r="O30" s="95" t="b">
        <x:v>1</x:v>
      </x:c>
      <x:c r="P30" s="95" t="b">
        <x:v>0</x:v>
      </x:c>
      <x:c r="Q30" s="95" t="b">
        <x:v>0</x:v>
      </x:c>
      <x:c r="R30" s="48" t="str"/>
      <x:c r="S30" s="48" t="str"/>
      <x:c r="T30" s="48" t="str">
        <x:v>http://maewon.sen.es.kr</x:v>
      </x:c>
      <x:c r="U30" s="48" t="str">
        <x:v>http://maewon.sen.es.kr</x:v>
      </x:c>
      <x:c r="V30" s="48" t="str">
        <x:v>maewon.sen.es.kr</x:v>
      </x:c>
      <x:c r="W30" s="48" t="str">
        <x:v>SCHOOLINFO</x:v>
      </x:c>
      <x:c r="X30" s="48" t="str">
        <x:v>9218020d-ddfd-4a75-be96-7bf6262b8b8f</x:v>
      </x:c>
      <x:c r="Y30" s="48" t="str">
        <x:v>RESOLVED</x:v>
      </x:c>
      <x:c r="Z30" s="48" t="str">
        <x:v>https://www.schoolinfo.go.kr/ei/ss/Pneiss_b01_s0.do?SHL_IDF_CD=9218020d-ddfd-4a75-be96-7bf6262b8b8f</x:v>
      </x:c>
      <x:c r="AA30" s="48" t="str">
        <x:v>매원초등학교 | 서울특별시 성북구 북악산로 870</x:v>
      </x:c>
      <x:c r="AB30" s="48" t="str">
        <x:v>ACTIVE</x:v>
      </x:c>
      <x:c r="AC30" s="48" t="str">
        <x:v>VERIFIED_OFFICIAL_REGISTRY</x:v>
      </x:c>
      <x:c r="AD30" s="101" t="str">
        <x:v>2026-08-27</x:v>
      </x:c>
      <x:c r="AE30" s="101" t="str">
        <x:v>NOT_CHECKED</x:v>
      </x:c>
      <x:c r="AF30" s="101" t="str"/>
      <x:c r="AG30" s="101" t="str">
        <x:v>NOT_STARTED</x:v>
      </x:c>
      <x:c r="AH30" s="101" t="str">
        <x:v>SEEDED</x:v>
      </x:c>
      <x:c r="AI30" s="101" t="str">
        <x:v>INTERNAL_ONLY</x:v>
      </x:c>
      <x:c r="AJ30" s="101" t="str">
        <x:v>P1</x:v>
      </x:c>
      <x:c r="AK30" s="101" t="str">
        <x:v>SEASONAL_WEEKLY</x:v>
      </x:c>
      <x:c r="AL30" s="50" t="str"/>
    </x:row>
    <x:row r="31">
      <x:c r="A31" s="83" t="str">
        <x:v>schoolinfo:5a337163-36fb-4d16-90bd-340aead6de9d</x:v>
      </x:c>
      <x:c r="B31" s="48" t="str">
        <x:v>성신초등학교</x:v>
      </x:c>
      <x:c r="C31" s="48" t="str"/>
      <x:c r="D31" s="48" t="str"/>
      <x:c r="E31" s="48" t="str"/>
      <x:c r="F31" s="48" t="str">
        <x:v>sungshin</x:v>
      </x:c>
      <x:c r="G31" s="48" t="str">
        <x:v>PROVISIONAL</x:v>
      </x:c>
      <x:c r="H31" s="48" t="str">
        <x:v>PRIVATE_ELEMENTARY</x:v>
      </x:c>
      <x:c r="I31" s="48" t="str">
        <x:v>PRIVATE_ELEMENTARY_SCHOOL</x:v>
      </x:c>
      <x:c r="J31" s="48" t="str">
        <x:v>서울특별시</x:v>
      </x:c>
      <x:c r="K31" s="48" t="str">
        <x:v>성북구</x:v>
      </x:c>
      <x:c r="L31" s="48" t="str">
        <x:v>서울특별시 성북구 북악산로 918</x:v>
      </x:c>
      <x:c r="M31" s="48" t="str">
        <x:v>초등학교(1–6)</x:v>
      </x:c>
      <x:c r="N31" s="95" t="b">
        <x:v>0</x:v>
      </x:c>
      <x:c r="O31" s="95" t="b">
        <x:v>1</x:v>
      </x:c>
      <x:c r="P31" s="95" t="b">
        <x:v>0</x:v>
      </x:c>
      <x:c r="Q31" s="95" t="b">
        <x:v>0</x:v>
      </x:c>
      <x:c r="R31" s="48" t="str"/>
      <x:c r="S31" s="48" t="str"/>
      <x:c r="T31" s="48" t="str">
        <x:v>http://sungshin.sen.es.kr</x:v>
      </x:c>
      <x:c r="U31" s="48" t="str">
        <x:v>http://sungshin.sen.es.kr</x:v>
      </x:c>
      <x:c r="V31" s="48" t="str">
        <x:v>sungshin.sen.es.kr</x:v>
      </x:c>
      <x:c r="W31" s="48" t="str">
        <x:v>SCHOOLINFO</x:v>
      </x:c>
      <x:c r="X31" s="48" t="str">
        <x:v>5a337163-36fb-4d16-90bd-340aead6de9d</x:v>
      </x:c>
      <x:c r="Y31" s="48" t="str">
        <x:v>RESOLVED</x:v>
      </x:c>
      <x:c r="Z31" s="48" t="str">
        <x:v>https://www.schoolinfo.go.kr/ei/ss/Pneiss_b01_s0.do?SHL_IDF_CD=5a337163-36fb-4d16-90bd-340aead6de9d</x:v>
      </x:c>
      <x:c r="AA31" s="48" t="str">
        <x:v>성신초등학교 | 서울특별시 성북구 북악산로 918</x:v>
      </x:c>
      <x:c r="AB31" s="48" t="str">
        <x:v>ACTIVE</x:v>
      </x:c>
      <x:c r="AC31" s="48" t="str">
        <x:v>VERIFIED_OFFICIAL_REGISTRY</x:v>
      </x:c>
      <x:c r="AD31" s="101" t="str">
        <x:v>2026-08-27</x:v>
      </x:c>
      <x:c r="AE31" s="101" t="str">
        <x:v>NOT_CHECKED</x:v>
      </x:c>
      <x:c r="AF31" s="101" t="str"/>
      <x:c r="AG31" s="101" t="str">
        <x:v>NOT_STARTED</x:v>
      </x:c>
      <x:c r="AH31" s="101" t="str">
        <x:v>SEEDED</x:v>
      </x:c>
      <x:c r="AI31" s="101" t="str">
        <x:v>INTERNAL_ONLY</x:v>
      </x:c>
      <x:c r="AJ31" s="101" t="str">
        <x:v>P1</x:v>
      </x:c>
      <x:c r="AK31" s="101" t="str">
        <x:v>SEASONAL_WEEKLY</x:v>
      </x:c>
      <x:c r="AL31" s="50" t="str"/>
    </x:row>
    <x:row r="32">
      <x:c r="A32" s="83" t="str">
        <x:v>schoolinfo:bb8d87b0-edfa-4bd9-9c24-b11debc3ba3c</x:v>
      </x:c>
      <x:c r="B32" s="48" t="str">
        <x:v>우촌초등학교</x:v>
      </x:c>
      <x:c r="C32" s="48" t="str"/>
      <x:c r="D32" s="48" t="str"/>
      <x:c r="E32" s="48" t="str"/>
      <x:c r="F32" s="48" t="str">
        <x:v>uchon</x:v>
      </x:c>
      <x:c r="G32" s="48" t="str">
        <x:v>PROVISIONAL</x:v>
      </x:c>
      <x:c r="H32" s="48" t="str">
        <x:v>PRIVATE_ELEMENTARY</x:v>
      </x:c>
      <x:c r="I32" s="48" t="str">
        <x:v>PRIVATE_ELEMENTARY_SCHOOL</x:v>
      </x:c>
      <x:c r="J32" s="48" t="str">
        <x:v>서울특별시</x:v>
      </x:c>
      <x:c r="K32" s="48" t="str">
        <x:v>성북구</x:v>
      </x:c>
      <x:c r="L32" s="48" t="str">
        <x:v>서울특별시 성북구 성북로4길 52-1</x:v>
      </x:c>
      <x:c r="M32" s="48" t="str">
        <x:v>초등학교(1–6)</x:v>
      </x:c>
      <x:c r="N32" s="95" t="b">
        <x:v>0</x:v>
      </x:c>
      <x:c r="O32" s="95" t="b">
        <x:v>1</x:v>
      </x:c>
      <x:c r="P32" s="95" t="b">
        <x:v>0</x:v>
      </x:c>
      <x:c r="Q32" s="95" t="b">
        <x:v>0</x:v>
      </x:c>
      <x:c r="R32" s="48" t="str"/>
      <x:c r="S32" s="48" t="str"/>
      <x:c r="T32" s="48" t="str">
        <x:v>https://uchon.sen.es.kr/</x:v>
      </x:c>
      <x:c r="U32" s="48" t="str">
        <x:v>https://uchon.sen.es.kr</x:v>
      </x:c>
      <x:c r="V32" s="48" t="str">
        <x:v>uchon.sen.es.kr</x:v>
      </x:c>
      <x:c r="W32" s="48" t="str">
        <x:v>SCHOOLINFO</x:v>
      </x:c>
      <x:c r="X32" s="48" t="str">
        <x:v>bb8d87b0-edfa-4bd9-9c24-b11debc3ba3c</x:v>
      </x:c>
      <x:c r="Y32" s="48" t="str">
        <x:v>RESOLVED</x:v>
      </x:c>
      <x:c r="Z32" s="48" t="str">
        <x:v>https://www.schoolinfo.go.kr/ei/ss/Pneiss_b01_s0.do?SHL_IDF_CD=bb8d87b0-edfa-4bd9-9c24-b11debc3ba3c</x:v>
      </x:c>
      <x:c r="AA32" s="48" t="str">
        <x:v>우촌초등학교 | 서울특별시 성북구 성북로4길 52-1</x:v>
      </x:c>
      <x:c r="AB32" s="48" t="str">
        <x:v>ACTIVE</x:v>
      </x:c>
      <x:c r="AC32" s="48" t="str">
        <x:v>VERIFIED_OFFICIAL_REGISTRY</x:v>
      </x:c>
      <x:c r="AD32" s="101" t="str">
        <x:v>2026-08-27</x:v>
      </x:c>
      <x:c r="AE32" s="101" t="str">
        <x:v>NOT_CHECKED</x:v>
      </x:c>
      <x:c r="AF32" s="101" t="str"/>
      <x:c r="AG32" s="101" t="str">
        <x:v>NOT_STARTED</x:v>
      </x:c>
      <x:c r="AH32" s="101" t="str">
        <x:v>SEEDED</x:v>
      </x:c>
      <x:c r="AI32" s="101" t="str">
        <x:v>INTERNAL_ONLY</x:v>
      </x:c>
      <x:c r="AJ32" s="101" t="str">
        <x:v>P1</x:v>
      </x:c>
      <x:c r="AK32" s="101" t="str">
        <x:v>SEASONAL_WEEKLY</x:v>
      </x:c>
      <x:c r="AL32" s="50" t="str"/>
    </x:row>
    <x:row r="33">
      <x:c r="A33" s="83" t="str">
        <x:v>schoolinfo-pending:skes.sen.es.kr</x:v>
      </x:c>
      <x:c r="B33" s="48" t="str">
        <x:v>신광초등학교</x:v>
      </x:c>
      <x:c r="C33" s="48" t="str"/>
      <x:c r="D33" s="48" t="str"/>
      <x:c r="E33" s="48" t="str"/>
      <x:c r="F33" s="48" t="str">
        <x:v>skes</x:v>
      </x:c>
      <x:c r="G33" s="48" t="str">
        <x:v>PROVISIONAL</x:v>
      </x:c>
      <x:c r="H33" s="48" t="str">
        <x:v>PRIVATE_ELEMENTARY</x:v>
      </x:c>
      <x:c r="I33" s="48" t="str">
        <x:v>PRIVATE_ELEMENTARY_SCHOOL</x:v>
      </x:c>
      <x:c r="J33" s="48" t="str">
        <x:v>서울특별시</x:v>
      </x:c>
      <x:c r="K33" s="48" t="str">
        <x:v>용산구</x:v>
      </x:c>
      <x:c r="L33" s="48" t="str">
        <x:v>서울특별시 용산구 청파로 263</x:v>
      </x:c>
      <x:c r="M33" s="48" t="str">
        <x:v>초등학교(1–6)</x:v>
      </x:c>
      <x:c r="N33" s="95" t="b">
        <x:v>0</x:v>
      </x:c>
      <x:c r="O33" s="95" t="b">
        <x:v>1</x:v>
      </x:c>
      <x:c r="P33" s="95" t="b">
        <x:v>0</x:v>
      </x:c>
      <x:c r="Q33" s="95" t="b">
        <x:v>0</x:v>
      </x:c>
      <x:c r="R33" s="48" t="str"/>
      <x:c r="S33" s="48" t="str"/>
      <x:c r="T33" s="48" t="str">
        <x:v>https://skes.sen.es.kr/</x:v>
      </x:c>
      <x:c r="U33" s="48" t="str">
        <x:v>https://skes.sen.es.kr</x:v>
      </x:c>
      <x:c r="V33" s="48" t="str">
        <x:v>skes.sen.es.kr</x:v>
      </x:c>
      <x:c r="W33" s="48" t="str">
        <x:v>SCHOOLINFO</x:v>
      </x:c>
      <x:c r="X33" s="48" t="str"/>
      <x:c r="Y33" s="48" t="str">
        <x:v>PENDING</x:v>
      </x:c>
      <x:c r="Z33" s="48" t="str">
        <x:v>https://www.schoolinfo.go.kr/</x:v>
      </x:c>
      <x:c r="AA33" s="48" t="str">
        <x:v>신광초등학교 | 서울특별시 용산구 청파로 263</x:v>
      </x:c>
      <x:c r="AB33" s="48" t="str">
        <x:v>ACTIVE</x:v>
      </x:c>
      <x:c r="AC33" s="48" t="str">
        <x:v>VERIFIED_REGISTRY_LIST_RECORD_ID_PENDING</x:v>
      </x:c>
      <x:c r="AD33" s="101" t="str">
        <x:v>2026-08-27</x:v>
      </x:c>
      <x:c r="AE33" s="101" t="str">
        <x:v>NOT_CHECKED</x:v>
      </x:c>
      <x:c r="AF33" s="101" t="str"/>
      <x:c r="AG33" s="101" t="str">
        <x:v>NOT_STARTED</x:v>
      </x:c>
      <x:c r="AH33" s="101" t="str">
        <x:v>SEEDED</x:v>
      </x:c>
      <x:c r="AI33" s="101" t="str">
        <x:v>INTERNAL_ONLY</x:v>
      </x:c>
      <x:c r="AJ33" s="101" t="str">
        <x:v>P1</x:v>
      </x:c>
      <x:c r="AK33" s="101" t="str">
        <x:v>SEASONAL_WEEKLY</x:v>
      </x:c>
      <x:c r="AL33" s="50" t="str">
        <x:v>SchoolInfo deep-link UUID must be reconciled before production import.</x:v>
      </x:c>
    </x:row>
    <x:row r="34">
      <x:c r="A34" s="83" t="str">
        <x:v>schoolinfo:49b99ce1-fb43-4b1a-ad44-414700bd7bfe</x:v>
      </x:c>
      <x:c r="B34" s="48" t="str">
        <x:v>선일초등학교</x:v>
      </x:c>
      <x:c r="C34" s="48" t="str"/>
      <x:c r="D34" s="48" t="str"/>
      <x:c r="E34" s="48" t="str"/>
      <x:c r="F34" s="48" t="str">
        <x:v>sunil</x:v>
      </x:c>
      <x:c r="G34" s="48" t="str">
        <x:v>PROVISIONAL</x:v>
      </x:c>
      <x:c r="H34" s="48" t="str">
        <x:v>PRIVATE_ELEMENTARY</x:v>
      </x:c>
      <x:c r="I34" s="48" t="str">
        <x:v>PRIVATE_ELEMENTARY_SCHOOL</x:v>
      </x:c>
      <x:c r="J34" s="48" t="str">
        <x:v>서울특별시</x:v>
      </x:c>
      <x:c r="K34" s="48" t="str">
        <x:v>은평구</x:v>
      </x:c>
      <x:c r="L34" s="48" t="str">
        <x:v>서울특별시 은평구 갈현로29길 27</x:v>
      </x:c>
      <x:c r="M34" s="48" t="str">
        <x:v>초등학교(1–6)</x:v>
      </x:c>
      <x:c r="N34" s="95" t="b">
        <x:v>0</x:v>
      </x:c>
      <x:c r="O34" s="95" t="b">
        <x:v>1</x:v>
      </x:c>
      <x:c r="P34" s="95" t="b">
        <x:v>0</x:v>
      </x:c>
      <x:c r="Q34" s="95" t="b">
        <x:v>0</x:v>
      </x:c>
      <x:c r="R34" s="48" t="str"/>
      <x:c r="S34" s="48" t="str"/>
      <x:c r="T34" s="48" t="str">
        <x:v>http://sunil.sen.es.kr</x:v>
      </x:c>
      <x:c r="U34" s="48" t="str">
        <x:v>http://sunil.sen.es.kr</x:v>
      </x:c>
      <x:c r="V34" s="48" t="str">
        <x:v>sunil.sen.es.kr</x:v>
      </x:c>
      <x:c r="W34" s="48" t="str">
        <x:v>SCHOOLINFO</x:v>
      </x:c>
      <x:c r="X34" s="48" t="str">
        <x:v>49b99ce1-fb43-4b1a-ad44-414700bd7bfe</x:v>
      </x:c>
      <x:c r="Y34" s="48" t="str">
        <x:v>RESOLVED</x:v>
      </x:c>
      <x:c r="Z34" s="48" t="str">
        <x:v>https://www.schoolinfo.go.kr/ei/ss/Pneiss_b01_s0.do?SHL_IDF_CD=49b99ce1-fb43-4b1a-ad44-414700bd7bfe</x:v>
      </x:c>
      <x:c r="AA34" s="48" t="str">
        <x:v>선일초등학교 | 서울특별시 은평구 갈현로29길 27</x:v>
      </x:c>
      <x:c r="AB34" s="48" t="str">
        <x:v>ACTIVE</x:v>
      </x:c>
      <x:c r="AC34" s="48" t="str">
        <x:v>VERIFIED_OFFICIAL_REGISTRY</x:v>
      </x:c>
      <x:c r="AD34" s="101" t="str">
        <x:v>2026-08-27</x:v>
      </x:c>
      <x:c r="AE34" s="101" t="str">
        <x:v>NOT_CHECKED</x:v>
      </x:c>
      <x:c r="AF34" s="101" t="str"/>
      <x:c r="AG34" s="101" t="str">
        <x:v>NOT_STARTED</x:v>
      </x:c>
      <x:c r="AH34" s="101" t="str">
        <x:v>SEEDED</x:v>
      </x:c>
      <x:c r="AI34" s="101" t="str">
        <x:v>INTERNAL_ONLY</x:v>
      </x:c>
      <x:c r="AJ34" s="101" t="str">
        <x:v>P1</x:v>
      </x:c>
      <x:c r="AK34" s="101" t="str">
        <x:v>SEASONAL_WEEKLY</x:v>
      </x:c>
      <x:c r="AL34" s="50" t="str"/>
    </x:row>
    <x:row r="35">
      <x:c r="A35" s="83" t="str">
        <x:v>schoolinfo:6b9e1611-3bfa-47d8-aee9-ba199ed7038d</x:v>
      </x:c>
      <x:c r="B35" s="48" t="str">
        <x:v>예일초등학교</x:v>
      </x:c>
      <x:c r="C35" s="48" t="str"/>
      <x:c r="D35" s="48" t="str"/>
      <x:c r="E35" s="48" t="str"/>
      <x:c r="F35" s="48" t="str">
        <x:v>yale</x:v>
      </x:c>
      <x:c r="G35" s="48" t="str">
        <x:v>PROVISIONAL</x:v>
      </x:c>
      <x:c r="H35" s="48" t="str">
        <x:v>PRIVATE_ELEMENTARY</x:v>
      </x:c>
      <x:c r="I35" s="48" t="str">
        <x:v>PRIVATE_ELEMENTARY_SCHOOL</x:v>
      </x:c>
      <x:c r="J35" s="48" t="str">
        <x:v>서울특별시</x:v>
      </x:c>
      <x:c r="K35" s="48" t="str">
        <x:v>은평구</x:v>
      </x:c>
      <x:c r="L35" s="48" t="str">
        <x:v>서울특별시 은평구 연서로 117</x:v>
      </x:c>
      <x:c r="M35" s="48" t="str">
        <x:v>초등학교(1–6)</x:v>
      </x:c>
      <x:c r="N35" s="95" t="b">
        <x:v>0</x:v>
      </x:c>
      <x:c r="O35" s="95" t="b">
        <x:v>1</x:v>
      </x:c>
      <x:c r="P35" s="95" t="b">
        <x:v>0</x:v>
      </x:c>
      <x:c r="Q35" s="95" t="b">
        <x:v>0</x:v>
      </x:c>
      <x:c r="R35" s="48" t="str"/>
      <x:c r="S35" s="48" t="str"/>
      <x:c r="T35" s="48" t="str">
        <x:v>https://yale.sen.es.kr/</x:v>
      </x:c>
      <x:c r="U35" s="48" t="str">
        <x:v>https://yale.sen.es.kr</x:v>
      </x:c>
      <x:c r="V35" s="48" t="str">
        <x:v>yale.sen.es.kr</x:v>
      </x:c>
      <x:c r="W35" s="48" t="str">
        <x:v>SCHOOLINFO</x:v>
      </x:c>
      <x:c r="X35" s="48" t="str">
        <x:v>6b9e1611-3bfa-47d8-aee9-ba199ed7038d</x:v>
      </x:c>
      <x:c r="Y35" s="48" t="str">
        <x:v>RESOLVED</x:v>
      </x:c>
      <x:c r="Z35" s="48" t="str">
        <x:v>https://www.schoolinfo.go.kr/ei/ss/Pneiss_b01_s0.do?SHL_IDF_CD=6b9e1611-3bfa-47d8-aee9-ba199ed7038d</x:v>
      </x:c>
      <x:c r="AA35" s="48" t="str">
        <x:v>예일초등학교 | 서울특별시 은평구 연서로 117</x:v>
      </x:c>
      <x:c r="AB35" s="48" t="str">
        <x:v>ACTIVE</x:v>
      </x:c>
      <x:c r="AC35" s="48" t="str">
        <x:v>VERIFIED_OFFICIAL_REGISTRY</x:v>
      </x:c>
      <x:c r="AD35" s="101" t="str">
        <x:v>2026-08-27</x:v>
      </x:c>
      <x:c r="AE35" s="101" t="str">
        <x:v>NOT_CHECKED</x:v>
      </x:c>
      <x:c r="AF35" s="101" t="str"/>
      <x:c r="AG35" s="101" t="str">
        <x:v>NOT_STARTED</x:v>
      </x:c>
      <x:c r="AH35" s="101" t="str">
        <x:v>SEEDED</x:v>
      </x:c>
      <x:c r="AI35" s="101" t="str">
        <x:v>INTERNAL_ONLY</x:v>
      </x:c>
      <x:c r="AJ35" s="101" t="str">
        <x:v>P1</x:v>
      </x:c>
      <x:c r="AK35" s="101" t="str">
        <x:v>SEASONAL_WEEKLY</x:v>
      </x:c>
      <x:c r="AL35" s="50" t="str"/>
    </x:row>
    <x:row r="36">
      <x:c r="A36" s="83" t="str">
        <x:v>schoolinfo:63e9de80-cb05-4152-9bfa-950e9376a9d5</x:v>
      </x:c>
      <x:c r="B36" s="48" t="str">
        <x:v>충암초등학교</x:v>
      </x:c>
      <x:c r="C36" s="48" t="str"/>
      <x:c r="D36" s="48" t="str"/>
      <x:c r="E36" s="48" t="str"/>
      <x:c r="F36" s="48" t="str">
        <x:v>choongam</x:v>
      </x:c>
      <x:c r="G36" s="48" t="str">
        <x:v>PROVISIONAL</x:v>
      </x:c>
      <x:c r="H36" s="48" t="str">
        <x:v>PRIVATE_ELEMENTARY</x:v>
      </x:c>
      <x:c r="I36" s="48" t="str">
        <x:v>PRIVATE_ELEMENTARY_SCHOOL</x:v>
      </x:c>
      <x:c r="J36" s="48" t="str">
        <x:v>서울특별시</x:v>
      </x:c>
      <x:c r="K36" s="48" t="str">
        <x:v>은평구</x:v>
      </x:c>
      <x:c r="L36" s="48" t="str">
        <x:v>서울특별시 은평구 가좌로5길 5</x:v>
      </x:c>
      <x:c r="M36" s="48" t="str">
        <x:v>초등학교(1–6)</x:v>
      </x:c>
      <x:c r="N36" s="95" t="b">
        <x:v>0</x:v>
      </x:c>
      <x:c r="O36" s="95" t="b">
        <x:v>1</x:v>
      </x:c>
      <x:c r="P36" s="95" t="b">
        <x:v>0</x:v>
      </x:c>
      <x:c r="Q36" s="95" t="b">
        <x:v>0</x:v>
      </x:c>
      <x:c r="R36" s="48" t="str"/>
      <x:c r="S36" s="48" t="str"/>
      <x:c r="T36" s="48" t="str">
        <x:v>http://choongam.sen.es.kr</x:v>
      </x:c>
      <x:c r="U36" s="48" t="str">
        <x:v>http://choongam.sen.es.kr</x:v>
      </x:c>
      <x:c r="V36" s="48" t="str">
        <x:v>choongam.sen.es.kr</x:v>
      </x:c>
      <x:c r="W36" s="48" t="str">
        <x:v>SCHOOLINFO</x:v>
      </x:c>
      <x:c r="X36" s="48" t="str">
        <x:v>63e9de80-cb05-4152-9bfa-950e9376a9d5</x:v>
      </x:c>
      <x:c r="Y36" s="48" t="str">
        <x:v>RESOLVED</x:v>
      </x:c>
      <x:c r="Z36" s="48" t="str">
        <x:v>https://www.schoolinfo.go.kr/ei/ss/Pneiss_b01_s0.do?SHL_IDF_CD=63e9de80-cb05-4152-9bfa-950e9376a9d5</x:v>
      </x:c>
      <x:c r="AA36" s="48" t="str">
        <x:v>충암초등학교 | 서울특별시 은평구 가좌로5길 5</x:v>
      </x:c>
      <x:c r="AB36" s="48" t="str">
        <x:v>ACTIVE</x:v>
      </x:c>
      <x:c r="AC36" s="48" t="str">
        <x:v>VERIFIED_OFFICIAL_REGISTRY</x:v>
      </x:c>
      <x:c r="AD36" s="101" t="str">
        <x:v>2026-08-27</x:v>
      </x:c>
      <x:c r="AE36" s="101" t="str">
        <x:v>NOT_CHECKED</x:v>
      </x:c>
      <x:c r="AF36" s="101" t="str"/>
      <x:c r="AG36" s="101" t="str">
        <x:v>NOT_STARTED</x:v>
      </x:c>
      <x:c r="AH36" s="101" t="str">
        <x:v>SEEDED</x:v>
      </x:c>
      <x:c r="AI36" s="101" t="str">
        <x:v>INTERNAL_ONLY</x:v>
      </x:c>
      <x:c r="AJ36" s="101" t="str">
        <x:v>P1</x:v>
      </x:c>
      <x:c r="AK36" s="101" t="str">
        <x:v>SEASONAL_WEEKLY</x:v>
      </x:c>
      <x:c r="AL36" s="50" t="str"/>
    </x:row>
    <x:row r="37">
      <x:c r="A37" s="83" t="str">
        <x:v>schoolinfo:d2729baf-9f46-4ed1-96d7-f5835b7fc75f</x:v>
      </x:c>
      <x:c r="B37" s="48" t="str">
        <x:v>상명대학교사범대학부속초등학교</x:v>
      </x:c>
      <x:c r="C37" s="48" t="str"/>
      <x:c r="D37" s="48" t="str"/>
      <x:c r="E37" s="48" t="str"/>
      <x:c r="F37" s="48" t="str">
        <x:v>sangmyung-ae</x:v>
      </x:c>
      <x:c r="G37" s="48" t="str">
        <x:v>PROVISIONAL</x:v>
      </x:c>
      <x:c r="H37" s="48" t="str">
        <x:v>PRIVATE_ELEMENTARY</x:v>
      </x:c>
      <x:c r="I37" s="48" t="str">
        <x:v>PRIVATE_ELEMENTARY_SCHOOL</x:v>
      </x:c>
      <x:c r="J37" s="48" t="str">
        <x:v>서울특별시</x:v>
      </x:c>
      <x:c r="K37" s="48" t="str">
        <x:v>종로구</x:v>
      </x:c>
      <x:c r="L37" s="48" t="str">
        <x:v>서울특별시 종로구 홍지문2길 1</x:v>
      </x:c>
      <x:c r="M37" s="48" t="str">
        <x:v>초등학교(1–6)</x:v>
      </x:c>
      <x:c r="N37" s="95" t="b">
        <x:v>0</x:v>
      </x:c>
      <x:c r="O37" s="95" t="b">
        <x:v>1</x:v>
      </x:c>
      <x:c r="P37" s="95" t="b">
        <x:v>0</x:v>
      </x:c>
      <x:c r="Q37" s="95" t="b">
        <x:v>0</x:v>
      </x:c>
      <x:c r="R37" s="48" t="str"/>
      <x:c r="S37" s="48" t="str"/>
      <x:c r="T37" s="48" t="str">
        <x:v>http://sangmyung-ae.sen.es.kr</x:v>
      </x:c>
      <x:c r="U37" s="48" t="str">
        <x:v>http://sangmyung-ae.sen.es.kr</x:v>
      </x:c>
      <x:c r="V37" s="48" t="str">
        <x:v>sangmyung-ae.sen.es.kr</x:v>
      </x:c>
      <x:c r="W37" s="48" t="str">
        <x:v>SCHOOLINFO</x:v>
      </x:c>
      <x:c r="X37" s="48" t="str">
        <x:v>d2729baf-9f46-4ed1-96d7-f5835b7fc75f</x:v>
      </x:c>
      <x:c r="Y37" s="48" t="str">
        <x:v>RESOLVED</x:v>
      </x:c>
      <x:c r="Z37" s="48" t="str">
        <x:v>https://www.schoolinfo.go.kr/ei/ss/Pneiss_b01_s0.do?SHL_IDF_CD=d2729baf-9f46-4ed1-96d7-f5835b7fc75f</x:v>
      </x:c>
      <x:c r="AA37" s="48" t="str">
        <x:v>상명대학교사범대학부속초등학교 | 서울특별시 종로구 홍지문2길 1</x:v>
      </x:c>
      <x:c r="AB37" s="48" t="str">
        <x:v>ACTIVE</x:v>
      </x:c>
      <x:c r="AC37" s="48" t="str">
        <x:v>VERIFIED_OFFICIAL_REGISTRY</x:v>
      </x:c>
      <x:c r="AD37" s="101" t="str">
        <x:v>2026-08-27</x:v>
      </x:c>
      <x:c r="AE37" s="101" t="str">
        <x:v>NOT_CHECKED</x:v>
      </x:c>
      <x:c r="AF37" s="101" t="str"/>
      <x:c r="AG37" s="101" t="str">
        <x:v>NOT_STARTED</x:v>
      </x:c>
      <x:c r="AH37" s="101" t="str">
        <x:v>SEEDED</x:v>
      </x:c>
      <x:c r="AI37" s="101" t="str">
        <x:v>INTERNAL_ONLY</x:v>
      </x:c>
      <x:c r="AJ37" s="101" t="str">
        <x:v>P1</x:v>
      </x:c>
      <x:c r="AK37" s="101" t="str">
        <x:v>SEASONAL_WEEKLY</x:v>
      </x:c>
      <x:c r="AL37" s="50" t="str"/>
    </x:row>
    <x:row r="38">
      <x:c r="A38" s="83" t="str">
        <x:v>schoolinfo:fa4c7b76-0e2c-469e-9020-7c3676312b02</x:v>
      </x:c>
      <x:c r="B38" s="48" t="str">
        <x:v>운현초등학교</x:v>
      </x:c>
      <x:c r="C38" s="48" t="str"/>
      <x:c r="D38" s="48" t="str"/>
      <x:c r="E38" s="48" t="str"/>
      <x:c r="F38" s="48" t="str">
        <x:v>unhyun</x:v>
      </x:c>
      <x:c r="G38" s="48" t="str">
        <x:v>PROVISIONAL</x:v>
      </x:c>
      <x:c r="H38" s="48" t="str">
        <x:v>PRIVATE_ELEMENTARY</x:v>
      </x:c>
      <x:c r="I38" s="48" t="str">
        <x:v>PRIVATE_ELEMENTARY_SCHOOL</x:v>
      </x:c>
      <x:c r="J38" s="48" t="str">
        <x:v>서울특별시</x:v>
      </x:c>
      <x:c r="K38" s="48" t="str">
        <x:v>종로구</x:v>
      </x:c>
      <x:c r="L38" s="48" t="str">
        <x:v>서울특별시 종로구 삼일대로 460</x:v>
      </x:c>
      <x:c r="M38" s="48" t="str">
        <x:v>초등학교(1–6)</x:v>
      </x:c>
      <x:c r="N38" s="95" t="b">
        <x:v>0</x:v>
      </x:c>
      <x:c r="O38" s="95" t="b">
        <x:v>1</x:v>
      </x:c>
      <x:c r="P38" s="95" t="b">
        <x:v>0</x:v>
      </x:c>
      <x:c r="Q38" s="95" t="b">
        <x:v>0</x:v>
      </x:c>
      <x:c r="R38" s="48" t="str"/>
      <x:c r="S38" s="48" t="str"/>
      <x:c r="T38" s="48" t="str">
        <x:v>http://unhyun.sen.es.kr</x:v>
      </x:c>
      <x:c r="U38" s="48" t="str">
        <x:v>http://unhyun.sen.es.kr</x:v>
      </x:c>
      <x:c r="V38" s="48" t="str">
        <x:v>unhyun.sen.es.kr</x:v>
      </x:c>
      <x:c r="W38" s="48" t="str">
        <x:v>SCHOOLINFO</x:v>
      </x:c>
      <x:c r="X38" s="48" t="str">
        <x:v>fa4c7b76-0e2c-469e-9020-7c3676312b02</x:v>
      </x:c>
      <x:c r="Y38" s="48" t="str">
        <x:v>RESOLVED</x:v>
      </x:c>
      <x:c r="Z38" s="48" t="str">
        <x:v>https://www.schoolinfo.go.kr/ei/ss/Pneiss_b01_s0.do?SHL_IDF_CD=fa4c7b76-0e2c-469e-9020-7c3676312b02</x:v>
      </x:c>
      <x:c r="AA38" s="48" t="str">
        <x:v>운현초등학교 | 서울특별시 종로구 삼일대로 460</x:v>
      </x:c>
      <x:c r="AB38" s="48" t="str">
        <x:v>ACTIVE</x:v>
      </x:c>
      <x:c r="AC38" s="48" t="str">
        <x:v>VERIFIED_OFFICIAL_REGISTRY</x:v>
      </x:c>
      <x:c r="AD38" s="101" t="str">
        <x:v>2026-08-27</x:v>
      </x:c>
      <x:c r="AE38" s="101" t="str">
        <x:v>NOT_CHECKED</x:v>
      </x:c>
      <x:c r="AF38" s="101" t="str"/>
      <x:c r="AG38" s="101" t="str">
        <x:v>NOT_STARTED</x:v>
      </x:c>
      <x:c r="AH38" s="101" t="str">
        <x:v>SEEDED</x:v>
      </x:c>
      <x:c r="AI38" s="101" t="str">
        <x:v>INTERNAL_ONLY</x:v>
      </x:c>
      <x:c r="AJ38" s="101" t="str">
        <x:v>P1</x:v>
      </x:c>
      <x:c r="AK38" s="101" t="str">
        <x:v>SEASONAL_WEEKLY</x:v>
      </x:c>
      <x:c r="AL38" s="50" t="str"/>
    </x:row>
    <x:row r="39">
      <x:c r="A39" s="83" t="str">
        <x:v>schoolinfo:dd2cf25c-0c9f-455d-9f2e-d559c571ff0b</x:v>
      </x:c>
      <x:c r="B39" s="48" t="str">
        <x:v>동산초등학교</x:v>
      </x:c>
      <x:c r="C39" s="48" t="str"/>
      <x:c r="D39" s="48" t="str"/>
      <x:c r="E39" s="48" t="str"/>
      <x:c r="F39" s="48" t="str">
        <x:v>seoul-dongsan</x:v>
      </x:c>
      <x:c r="G39" s="48" t="str">
        <x:v>PROVISIONAL</x:v>
      </x:c>
      <x:c r="H39" s="48" t="str">
        <x:v>PRIVATE_ELEMENTARY</x:v>
      </x:c>
      <x:c r="I39" s="48" t="str">
        <x:v>PRIVATE_ELEMENTARY_SCHOOL</x:v>
      </x:c>
      <x:c r="J39" s="48" t="str">
        <x:v>서울특별시</x:v>
      </x:c>
      <x:c r="K39" s="48" t="str">
        <x:v>중구</x:v>
      </x:c>
      <x:c r="L39" s="48" t="str">
        <x:v>서울특별시 중구 매봉18길 109</x:v>
      </x:c>
      <x:c r="M39" s="48" t="str">
        <x:v>초등학교(1–6)</x:v>
      </x:c>
      <x:c r="N39" s="95" t="b">
        <x:v>0</x:v>
      </x:c>
      <x:c r="O39" s="95" t="b">
        <x:v>1</x:v>
      </x:c>
      <x:c r="P39" s="95" t="b">
        <x:v>0</x:v>
      </x:c>
      <x:c r="Q39" s="95" t="b">
        <x:v>0</x:v>
      </x:c>
      <x:c r="R39" s="48" t="str"/>
      <x:c r="S39" s="48" t="str"/>
      <x:c r="T39" s="48" t="str">
        <x:v>http://seoul-dongsan.sen.es.kr</x:v>
      </x:c>
      <x:c r="U39" s="48" t="str">
        <x:v>http://seoul-dongsan.sen.es.kr</x:v>
      </x:c>
      <x:c r="V39" s="48" t="str">
        <x:v>seoul-dongsan.sen.es.kr</x:v>
      </x:c>
      <x:c r="W39" s="48" t="str">
        <x:v>SCHOOLINFO</x:v>
      </x:c>
      <x:c r="X39" s="48" t="str">
        <x:v>dd2cf25c-0c9f-455d-9f2e-d559c571ff0b</x:v>
      </x:c>
      <x:c r="Y39" s="48" t="str">
        <x:v>RESOLVED</x:v>
      </x:c>
      <x:c r="Z39" s="48" t="str">
        <x:v>https://www.schoolinfo.go.kr/ei/ss/Pneiss_b01_s0.do?SHL_IDF_CD=dd2cf25c-0c9f-455d-9f2e-d559c571ff0b</x:v>
      </x:c>
      <x:c r="AA39" s="48" t="str">
        <x:v>동산초등학교 | 서울특별시 중구 매봉18길 109</x:v>
      </x:c>
      <x:c r="AB39" s="48" t="str">
        <x:v>ACTIVE</x:v>
      </x:c>
      <x:c r="AC39" s="48" t="str">
        <x:v>VERIFIED_OFFICIAL_REGISTRY</x:v>
      </x:c>
      <x:c r="AD39" s="101" t="str">
        <x:v>2026-08-27</x:v>
      </x:c>
      <x:c r="AE39" s="101" t="str">
        <x:v>NOT_CHECKED</x:v>
      </x:c>
      <x:c r="AF39" s="101" t="str"/>
      <x:c r="AG39" s="101" t="str">
        <x:v>NOT_STARTED</x:v>
      </x:c>
      <x:c r="AH39" s="101" t="str">
        <x:v>SEEDED</x:v>
      </x:c>
      <x:c r="AI39" s="101" t="str">
        <x:v>INTERNAL_ONLY</x:v>
      </x:c>
      <x:c r="AJ39" s="101" t="str">
        <x:v>P1</x:v>
      </x:c>
      <x:c r="AK39" s="101" t="str">
        <x:v>SEASONAL_WEEKLY</x:v>
      </x:c>
      <x:c r="AL39" s="50" t="str"/>
    </x:row>
    <x:row r="40">
      <x:c r="A40" s="83" t="str">
        <x:v>schoolinfo-pending:lila.es.kr</x:v>
      </x:c>
      <x:c r="B40" s="48" t="str">
        <x:v>리라초등학교</x:v>
      </x:c>
      <x:c r="C40" s="48" t="str"/>
      <x:c r="D40" s="48" t="str"/>
      <x:c r="E40" s="48" t="str"/>
      <x:c r="F40" s="48" t="str">
        <x:v>lila</x:v>
      </x:c>
      <x:c r="G40" s="48" t="str">
        <x:v>PROVISIONAL</x:v>
      </x:c>
      <x:c r="H40" s="48" t="str">
        <x:v>PRIVATE_ELEMENTARY</x:v>
      </x:c>
      <x:c r="I40" s="48" t="str">
        <x:v>PRIVATE_ELEMENTARY_SCHOOL</x:v>
      </x:c>
      <x:c r="J40" s="48" t="str">
        <x:v>서울특별시</x:v>
      </x:c>
      <x:c r="K40" s="48" t="str">
        <x:v>중구</x:v>
      </x:c>
      <x:c r="L40" s="48" t="str">
        <x:v>서울특별시 중구 소파로2길 7</x:v>
      </x:c>
      <x:c r="M40" s="48" t="str">
        <x:v>초등학교(1–6)</x:v>
      </x:c>
      <x:c r="N40" s="95" t="b">
        <x:v>0</x:v>
      </x:c>
      <x:c r="O40" s="95" t="b">
        <x:v>1</x:v>
      </x:c>
      <x:c r="P40" s="95" t="b">
        <x:v>0</x:v>
      </x:c>
      <x:c r="Q40" s="95" t="b">
        <x:v>0</x:v>
      </x:c>
      <x:c r="R40" s="48" t="str"/>
      <x:c r="S40" s="48" t="str"/>
      <x:c r="T40" s="48" t="str">
        <x:v>http://www.lila.es.kr</x:v>
      </x:c>
      <x:c r="U40" s="48" t="str">
        <x:v>http://www.lila.es.kr</x:v>
      </x:c>
      <x:c r="V40" s="48" t="str">
        <x:v>lila.es.kr</x:v>
      </x:c>
      <x:c r="W40" s="48" t="str">
        <x:v>SCHOOLINFO</x:v>
      </x:c>
      <x:c r="X40" s="48" t="str"/>
      <x:c r="Y40" s="48" t="str">
        <x:v>PENDING</x:v>
      </x:c>
      <x:c r="Z40" s="48" t="str">
        <x:v>https://www.schoolinfo.go.kr/</x:v>
      </x:c>
      <x:c r="AA40" s="48" t="str">
        <x:v>리라초등학교 | 서울특별시 중구 소파로2길 7</x:v>
      </x:c>
      <x:c r="AB40" s="48" t="str">
        <x:v>ACTIVE</x:v>
      </x:c>
      <x:c r="AC40" s="48" t="str">
        <x:v>VERIFIED_REGISTRY_LIST_RECORD_ID_PENDING</x:v>
      </x:c>
      <x:c r="AD40" s="101" t="str">
        <x:v>2026-08-27</x:v>
      </x:c>
      <x:c r="AE40" s="101" t="str">
        <x:v>NOT_CHECKED</x:v>
      </x:c>
      <x:c r="AF40" s="101" t="str"/>
      <x:c r="AG40" s="101" t="str">
        <x:v>NOT_STARTED</x:v>
      </x:c>
      <x:c r="AH40" s="101" t="str">
        <x:v>SEEDED</x:v>
      </x:c>
      <x:c r="AI40" s="101" t="str">
        <x:v>INTERNAL_ONLY</x:v>
      </x:c>
      <x:c r="AJ40" s="101" t="str">
        <x:v>P1</x:v>
      </x:c>
      <x:c r="AK40" s="101" t="str">
        <x:v>SEASONAL_WEEKLY</x:v>
      </x:c>
      <x:c r="AL40" s="50" t="str">
        <x:v>SchoolInfo deep-link UUID must be reconciled before production import.</x:v>
      </x:c>
    </x:row>
    <x:row r="41">
      <x:c r="A41" s="83" t="str">
        <x:v>schoolinfo:81b0169a-eeca-413c-875f-7f6e37065f7c</x:v>
      </x:c>
      <x:c r="B41" s="48" t="str">
        <x:v>숭의초등학교</x:v>
      </x:c>
      <x:c r="C41" s="48" t="str"/>
      <x:c r="D41" s="48" t="str"/>
      <x:c r="E41" s="48" t="str"/>
      <x:c r="F41" s="48" t="str">
        <x:v>soongeui</x:v>
      </x:c>
      <x:c r="G41" s="48" t="str">
        <x:v>PROVISIONAL</x:v>
      </x:c>
      <x:c r="H41" s="48" t="str">
        <x:v>PRIVATE_ELEMENTARY</x:v>
      </x:c>
      <x:c r="I41" s="48" t="str">
        <x:v>PRIVATE_ELEMENTARY_SCHOOL</x:v>
      </x:c>
      <x:c r="J41" s="48" t="str">
        <x:v>서울특별시</x:v>
      </x:c>
      <x:c r="K41" s="48" t="str">
        <x:v>중구</x:v>
      </x:c>
      <x:c r="L41" s="48" t="str">
        <x:v>서울특별시 중구 소파로2길 10</x:v>
      </x:c>
      <x:c r="M41" s="48" t="str">
        <x:v>초등학교(1–6)</x:v>
      </x:c>
      <x:c r="N41" s="95" t="b">
        <x:v>0</x:v>
      </x:c>
      <x:c r="O41" s="95" t="b">
        <x:v>1</x:v>
      </x:c>
      <x:c r="P41" s="95" t="b">
        <x:v>0</x:v>
      </x:c>
      <x:c r="Q41" s="95" t="b">
        <x:v>0</x:v>
      </x:c>
      <x:c r="R41" s="48" t="str"/>
      <x:c r="S41" s="48" t="str"/>
      <x:c r="T41" s="48" t="str">
        <x:v>http://soongeui.sen.es.kr</x:v>
      </x:c>
      <x:c r="U41" s="48" t="str">
        <x:v>http://soongeui.sen.es.kr</x:v>
      </x:c>
      <x:c r="V41" s="48" t="str">
        <x:v>soongeui.sen.es.kr</x:v>
      </x:c>
      <x:c r="W41" s="48" t="str">
        <x:v>SCHOOLINFO</x:v>
      </x:c>
      <x:c r="X41" s="48" t="str">
        <x:v>81b0169a-eeca-413c-875f-7f6e37065f7c</x:v>
      </x:c>
      <x:c r="Y41" s="48" t="str">
        <x:v>RESOLVED</x:v>
      </x:c>
      <x:c r="Z41" s="48" t="str">
        <x:v>https://www.schoolinfo.go.kr/ei/ss/Pneiss_b01_s0.do?SHL_IDF_CD=81b0169a-eeca-413c-875f-7f6e37065f7c</x:v>
      </x:c>
      <x:c r="AA41" s="48" t="str">
        <x:v>숭의초등학교 | 서울특별시 중구 소파로2길 10</x:v>
      </x:c>
      <x:c r="AB41" s="48" t="str">
        <x:v>ACTIVE</x:v>
      </x:c>
      <x:c r="AC41" s="48" t="str">
        <x:v>VERIFIED_OFFICIAL_REGISTRY</x:v>
      </x:c>
      <x:c r="AD41" s="101" t="str">
        <x:v>2026-08-27</x:v>
      </x:c>
      <x:c r="AE41" s="101" t="str">
        <x:v>NOT_CHECKED</x:v>
      </x:c>
      <x:c r="AF41" s="101" t="str"/>
      <x:c r="AG41" s="101" t="str">
        <x:v>NOT_STARTED</x:v>
      </x:c>
      <x:c r="AH41" s="101" t="str">
        <x:v>SEEDED</x:v>
      </x:c>
      <x:c r="AI41" s="101" t="str">
        <x:v>INTERNAL_ONLY</x:v>
      </x:c>
      <x:c r="AJ41" s="101" t="str">
        <x:v>P1</x:v>
      </x:c>
      <x:c r="AK41" s="101" t="str">
        <x:v>SEASONAL_WEEKLY</x:v>
      </x:c>
      <x:c r="AL41" s="50" t="str"/>
    </x:row>
    <x:row r="42">
      <x:c r="A42" s="83" t="str">
        <x:v>schoolinfo:1aeb2cdf-3475-4eca-a64f-d6552bfbb88f</x:v>
      </x:c>
      <x:c r="B42" s="48" t="str">
        <x:v>금성초등학교</x:v>
      </x:c>
      <x:c r="C42" s="48" t="str"/>
      <x:c r="D42" s="48" t="str"/>
      <x:c r="E42" s="48" t="str"/>
      <x:c r="F42" s="48" t="str">
        <x:v>kumsung</x:v>
      </x:c>
      <x:c r="G42" s="48" t="str">
        <x:v>PROVISIONAL</x:v>
      </x:c>
      <x:c r="H42" s="48" t="str">
        <x:v>PRIVATE_ELEMENTARY</x:v>
      </x:c>
      <x:c r="I42" s="48" t="str">
        <x:v>PRIVATE_ELEMENTARY_SCHOOL</x:v>
      </x:c>
      <x:c r="J42" s="48" t="str">
        <x:v>서울특별시</x:v>
      </x:c>
      <x:c r="K42" s="48" t="str">
        <x:v>중랑구</x:v>
      </x:c>
      <x:c r="L42" s="48" t="str">
        <x:v>서울특별시 중랑구 신내로21길 55</x:v>
      </x:c>
      <x:c r="M42" s="48" t="str">
        <x:v>초등학교(1–6)</x:v>
      </x:c>
      <x:c r="N42" s="95" t="b">
        <x:v>0</x:v>
      </x:c>
      <x:c r="O42" s="95" t="b">
        <x:v>1</x:v>
      </x:c>
      <x:c r="P42" s="95" t="b">
        <x:v>0</x:v>
      </x:c>
      <x:c r="Q42" s="95" t="b">
        <x:v>0</x:v>
      </x:c>
      <x:c r="R42" s="48" t="str"/>
      <x:c r="S42" s="48" t="str"/>
      <x:c r="T42" s="48" t="str">
        <x:v>http://www.kumsung.net</x:v>
      </x:c>
      <x:c r="U42" s="48" t="str">
        <x:v>http://www.kumsung.net</x:v>
      </x:c>
      <x:c r="V42" s="48" t="str">
        <x:v>kumsung.net</x:v>
      </x:c>
      <x:c r="W42" s="48" t="str">
        <x:v>SCHOOLINFO</x:v>
      </x:c>
      <x:c r="X42" s="48" t="str">
        <x:v>1aeb2cdf-3475-4eca-a64f-d6552bfbb88f</x:v>
      </x:c>
      <x:c r="Y42" s="48" t="str">
        <x:v>RESOLVED</x:v>
      </x:c>
      <x:c r="Z42" s="48" t="str">
        <x:v>https://www.schoolinfo.go.kr/ei/ss/Pneiss_b01_s0.do?SHL_IDF_CD=1aeb2cdf-3475-4eca-a64f-d6552bfbb88f</x:v>
      </x:c>
      <x:c r="AA42" s="48" t="str">
        <x:v>금성초등학교 | 서울특별시 중랑구 신내로21길 55</x:v>
      </x:c>
      <x:c r="AB42" s="48" t="str">
        <x:v>ACTIVE</x:v>
      </x:c>
      <x:c r="AC42" s="48" t="str">
        <x:v>VERIFIED_OFFICIAL_REGISTRY</x:v>
      </x:c>
      <x:c r="AD42" s="101" t="str">
        <x:v>2026-08-27</x:v>
      </x:c>
      <x:c r="AE42" s="101" t="str">
        <x:v>NOT_CHECKED</x:v>
      </x:c>
      <x:c r="AF42" s="101" t="str"/>
      <x:c r="AG42" s="101" t="str">
        <x:v>NOT_STARTED</x:v>
      </x:c>
      <x:c r="AH42" s="101" t="str">
        <x:v>SEEDED</x:v>
      </x:c>
      <x:c r="AI42" s="101" t="str">
        <x:v>INTERNAL_ONLY</x:v>
      </x:c>
      <x:c r="AJ42" s="101" t="str">
        <x:v>P1</x:v>
      </x:c>
      <x:c r="AK42" s="101" t="str">
        <x:v>SEASONAL_WEEKLY</x:v>
      </x:c>
      <x:c r="AL42" s="50" t="str"/>
    </x:row>
    <x:row r="43">
      <x:c r="A43" s="83" t="str">
        <x:v>isi:ST01:32</x:v>
      </x:c>
      <x:c r="B43" s="48" t="str">
        <x:v>한국외국인학교(판교)</x:v>
      </x:c>
      <x:c r="C43" s="48" t="str">
        <x:v>Korea International School - Pangyo</x:v>
      </x:c>
      <x:c r="D43" s="48" t="str">
        <x:v>korea-international-school</x:v>
      </x:c>
      <x:c r="E43" s="48" t="str">
        <x:v>Pangyo Campus</x:v>
      </x:c>
      <x:c r="F43" s="48" t="str">
        <x:v>korea-international-school-pangyo</x:v>
      </x:c>
      <x:c r="G43" s="48" t="str">
        <x:v>PROVISIONAL</x:v>
      </x:c>
      <x:c r="H43" s="48" t="str">
        <x:v>INTERNATIONAL_SCHOOL</x:v>
      </x:c>
      <x:c r="I43" s="48" t="str">
        <x:v>FOREIGN_SCHOOL</x:v>
      </x:c>
      <x:c r="J43" s="48" t="str">
        <x:v>경기도</x:v>
      </x:c>
      <x:c r="K43" s="48" t="str">
        <x:v>성남시 분당구</x:v>
      </x:c>
      <x:c r="L43" s="48" t="str">
        <x:v>경기도 성남시 분당구 대왕판교로385번길 27</x:v>
      </x:c>
      <x:c r="M43" s="48" t="str">
        <x:v>유치원,초등학교,중학교,고등학교</x:v>
      </x:c>
      <x:c r="N43" s="95" t="b">
        <x:v>1</x:v>
      </x:c>
      <x:c r="O43" s="95" t="b">
        <x:v>1</x:v>
      </x:c>
      <x:c r="P43" s="95" t="b">
        <x:v>1</x:v>
      </x:c>
      <x:c r="Q43" s="95" t="b">
        <x:v>1</x:v>
      </x:c>
      <x:c r="R43" s="48" t="str">
        <x:v>영어|English</x:v>
      </x:c>
      <x:c r="S43" s="48" t="str">
        <x:v>영어|English</x:v>
      </x:c>
      <x:c r="T43" s="48" t="str">
        <x:v>http://www.kis.or.kr</x:v>
      </x:c>
      <x:c r="U43" s="48" t="str">
        <x:v>http://www.kis.or.kr</x:v>
      </x:c>
      <x:c r="V43" s="48" t="str">
        <x:v>kis.or.kr</x:v>
      </x:c>
      <x:c r="W43" s="48" t="str">
        <x:v>ISI</x:v>
      </x:c>
      <x:c r="X43" s="48" t="str">
        <x:v>ST01:32</x:v>
      </x:c>
      <x:c r="Y43" s="48" t="str">
        <x:v>RESOLVED</x:v>
      </x:c>
      <x:c r="Z43" s="48" t="str">
        <x:v>https://www.isi.go.kr/schl/info/SinfoView.do?schoolId=32&amp;schoolType=ST01</x:v>
      </x:c>
      <x:c r="AA43" s="48" t="str">
        <x:v>한국외국인학교(판교) | 경기도 성남시 분당구 대왕판교로385번길 27</x:v>
      </x:c>
      <x:c r="AB43" s="48" t="str">
        <x:v>ACTIVE</x:v>
      </x:c>
      <x:c r="AC43" s="48" t="str">
        <x:v>VERIFIED_OFFICIAL_REGISTRY</x:v>
      </x:c>
      <x:c r="AD43" s="101" t="str">
        <x:v>2026-08-27</x:v>
      </x:c>
      <x:c r="AE43" s="101" t="str">
        <x:v>NOT_CHECKED</x:v>
      </x:c>
      <x:c r="AF43" s="101" t="str"/>
      <x:c r="AG43" s="101" t="str">
        <x:v>NOT_STARTED</x:v>
      </x:c>
      <x:c r="AH43" s="101" t="str">
        <x:v>SEEDED</x:v>
      </x:c>
      <x:c r="AI43" s="101" t="str">
        <x:v>INTERNAL_ONLY</x:v>
      </x:c>
      <x:c r="AJ43" s="101" t="str">
        <x:v>P0</x:v>
      </x:c>
      <x:c r="AK43" s="101" t="str">
        <x:v>WEEKLY</x:v>
      </x:c>
      <x:c r="AL43" s="50" t="str"/>
    </x:row>
    <x:row r="44">
      <x:c r="A44" s="83" t="str">
        <x:v>isi:ST01:33</x:v>
      </x:c>
      <x:c r="B44" s="48" t="str">
        <x:v>서울국제학교</x:v>
      </x:c>
      <x:c r="C44" s="48" t="str">
        <x:v>Seoul International School</x:v>
      </x:c>
      <x:c r="D44" s="48" t="str"/>
      <x:c r="E44" s="48" t="str"/>
      <x:c r="F44" s="48" t="str">
        <x:v>seoul-international-school</x:v>
      </x:c>
      <x:c r="G44" s="48" t="str">
        <x:v>PROVISIONAL</x:v>
      </x:c>
      <x:c r="H44" s="48" t="str">
        <x:v>INTERNATIONAL_SCHOOL</x:v>
      </x:c>
      <x:c r="I44" s="48" t="str">
        <x:v>FOREIGN_SCHOOL</x:v>
      </x:c>
      <x:c r="J44" s="48" t="str">
        <x:v>경기도</x:v>
      </x:c>
      <x:c r="K44" s="48" t="str">
        <x:v>성남시 수정구</x:v>
      </x:c>
      <x:c r="L44" s="48" t="str">
        <x:v>경기도 성남시 수정구 성남대로1518번길 15</x:v>
      </x:c>
      <x:c r="M44" s="48" t="str">
        <x:v>유치원,초등학교,중학교,고등학교</x:v>
      </x:c>
      <x:c r="N44" s="95" t="b">
        <x:v>1</x:v>
      </x:c>
      <x:c r="O44" s="95" t="b">
        <x:v>1</x:v>
      </x:c>
      <x:c r="P44" s="95" t="b">
        <x:v>1</x:v>
      </x:c>
      <x:c r="Q44" s="95" t="b">
        <x:v>1</x:v>
      </x:c>
      <x:c r="R44" s="48" t="str">
        <x:v>영어|English</x:v>
      </x:c>
      <x:c r="S44" s="48" t="str">
        <x:v>영어|English</x:v>
      </x:c>
      <x:c r="T44" s="48" t="str">
        <x:v>http://www.siskorea.org</x:v>
      </x:c>
      <x:c r="U44" s="48" t="str">
        <x:v>http://www.siskorea.org</x:v>
      </x:c>
      <x:c r="V44" s="48" t="str">
        <x:v>siskorea.org</x:v>
      </x:c>
      <x:c r="W44" s="48" t="str">
        <x:v>ISI</x:v>
      </x:c>
      <x:c r="X44" s="48" t="str">
        <x:v>ST01:33</x:v>
      </x:c>
      <x:c r="Y44" s="48" t="str">
        <x:v>RESOLVED</x:v>
      </x:c>
      <x:c r="Z44" s="48" t="str">
        <x:v>https://www.isi.go.kr/schl/info/SinfoView.do?schoolId=33&amp;schoolType=ST01</x:v>
      </x:c>
      <x:c r="AA44" s="48" t="str">
        <x:v>서울국제학교 | 경기도 성남시 수정구 성남대로1518번길 15</x:v>
      </x:c>
      <x:c r="AB44" s="48" t="str">
        <x:v>ACTIVE</x:v>
      </x:c>
      <x:c r="AC44" s="48" t="str">
        <x:v>VERIFIED_OFFICIAL_REGISTRY</x:v>
      </x:c>
      <x:c r="AD44" s="101" t="str">
        <x:v>2026-08-27</x:v>
      </x:c>
      <x:c r="AE44" s="101" t="str">
        <x:v>NOT_CHECKED</x:v>
      </x:c>
      <x:c r="AF44" s="101" t="str"/>
      <x:c r="AG44" s="101" t="str">
        <x:v>NOT_STARTED</x:v>
      </x:c>
      <x:c r="AH44" s="101" t="str">
        <x:v>SEEDED</x:v>
      </x:c>
      <x:c r="AI44" s="101" t="str">
        <x:v>INTERNAL_ONLY</x:v>
      </x:c>
      <x:c r="AJ44" s="101" t="str">
        <x:v>P0</x:v>
      </x:c>
      <x:c r="AK44" s="101" t="str">
        <x:v>WEEKLY</x:v>
      </x:c>
      <x:c r="AL44" s="50" t="str"/>
    </x:row>
    <x:row r="45">
      <x:c r="A45" s="83" t="str">
        <x:v>isi:ST01:34</x:v>
      </x:c>
      <x:c r="B45" s="48" t="str">
        <x:v>경기수원외국인학교</x:v>
      </x:c>
      <x:c r="C45" s="48" t="str">
        <x:v>Gyeonggi Suwon International School</x:v>
      </x:c>
      <x:c r="D45" s="48" t="str"/>
      <x:c r="E45" s="48" t="str"/>
      <x:c r="F45" s="48" t="str">
        <x:v>gyeonggi-suwon-international-school</x:v>
      </x:c>
      <x:c r="G45" s="48" t="str">
        <x:v>PROVISIONAL</x:v>
      </x:c>
      <x:c r="H45" s="48" t="str">
        <x:v>INTERNATIONAL_SCHOOL</x:v>
      </x:c>
      <x:c r="I45" s="48" t="str">
        <x:v>FOREIGN_SCHOOL</x:v>
      </x:c>
      <x:c r="J45" s="48" t="str">
        <x:v>경기도</x:v>
      </x:c>
      <x:c r="K45" s="48" t="str">
        <x:v>수원시 영통구</x:v>
      </x:c>
      <x:c r="L45" s="48" t="str">
        <x:v>경기도 수원시 영통구 영통로 451 (영통동)</x:v>
      </x:c>
      <x:c r="M45" s="48" t="str">
        <x:v>유치원,초등학교,중학교,고등학교</x:v>
      </x:c>
      <x:c r="N45" s="95" t="b">
        <x:v>1</x:v>
      </x:c>
      <x:c r="O45" s="95" t="b">
        <x:v>1</x:v>
      </x:c>
      <x:c r="P45" s="95" t="b">
        <x:v>1</x:v>
      </x:c>
      <x:c r="Q45" s="95" t="b">
        <x:v>1</x:v>
      </x:c>
      <x:c r="R45" s="48" t="str">
        <x:v>영어|English</x:v>
      </x:c>
      <x:c r="S45" s="48" t="str">
        <x:v>영어|English</x:v>
      </x:c>
      <x:c r="T45" s="48" t="str">
        <x:v>http://www.gsis.sc.kr</x:v>
      </x:c>
      <x:c r="U45" s="48" t="str">
        <x:v>http://www.gsis.sc.kr</x:v>
      </x:c>
      <x:c r="V45" s="48" t="str">
        <x:v>gsis.sc.kr</x:v>
      </x:c>
      <x:c r="W45" s="48" t="str">
        <x:v>ISI</x:v>
      </x:c>
      <x:c r="X45" s="48" t="str">
        <x:v>ST01:34</x:v>
      </x:c>
      <x:c r="Y45" s="48" t="str">
        <x:v>RESOLVED</x:v>
      </x:c>
      <x:c r="Z45" s="48" t="str">
        <x:v>https://www.isi.go.kr/schl/info/SinfoView.do?schoolId=34&amp;schoolType=ST01</x:v>
      </x:c>
      <x:c r="AA45" s="48" t="str">
        <x:v>경기수원외국인학교 | 경기도 수원시 영통구 영통로 451 (영통동)</x:v>
      </x:c>
      <x:c r="AB45" s="48" t="str">
        <x:v>ACTIVE</x:v>
      </x:c>
      <x:c r="AC45" s="48" t="str">
        <x:v>VERIFIED_OFFICIAL_REGISTRY</x:v>
      </x:c>
      <x:c r="AD45" s="101" t="str">
        <x:v>2026-08-27</x:v>
      </x:c>
      <x:c r="AE45" s="101" t="str">
        <x:v>NOT_CHECKED</x:v>
      </x:c>
      <x:c r="AF45" s="101" t="str"/>
      <x:c r="AG45" s="101" t="str">
        <x:v>NOT_STARTED</x:v>
      </x:c>
      <x:c r="AH45" s="101" t="str">
        <x:v>SEEDED</x:v>
      </x:c>
      <x:c r="AI45" s="101" t="str">
        <x:v>INTERNAL_ONLY</x:v>
      </x:c>
      <x:c r="AJ45" s="101" t="str">
        <x:v>P0</x:v>
      </x:c>
      <x:c r="AK45" s="101" t="str">
        <x:v>WEEKLY</x:v>
      </x:c>
      <x:c r="AL45" s="50" t="str"/>
    </x:row>
    <x:row r="46">
      <x:c r="A46" s="83" t="str">
        <x:v>isi:ST01:38</x:v>
      </x:c>
      <x:c r="B46" s="48" t="str">
        <x:v>수원화교중정소학교</x:v>
      </x:c>
      <x:c r="C46" s="48" t="str">
        <x:v>Suwon Chinese International School</x:v>
      </x:c>
      <x:c r="D46" s="48" t="str"/>
      <x:c r="E46" s="48" t="str"/>
      <x:c r="F46" s="48" t="str">
        <x:v>suwon-chinese-international-school</x:v>
      </x:c>
      <x:c r="G46" s="48" t="str">
        <x:v>PROVISIONAL</x:v>
      </x:c>
      <x:c r="H46" s="48" t="str">
        <x:v>INTERNATIONAL_SCHOOL</x:v>
      </x:c>
      <x:c r="I46" s="48" t="str">
        <x:v>FOREIGN_SCHOOL</x:v>
      </x:c>
      <x:c r="J46" s="48" t="str">
        <x:v>경기도</x:v>
      </x:c>
      <x:c r="K46" s="48" t="str">
        <x:v>수원시 팔달구</x:v>
      </x:c>
      <x:c r="L46" s="48" t="str">
        <x:v>경기도 수원시 팔달구 효원로85번길 62-7</x:v>
      </x:c>
      <x:c r="M46" s="48" t="str">
        <x:v>유치원,초등학교</x:v>
      </x:c>
      <x:c r="N46" s="95" t="b">
        <x:v>1</x:v>
      </x:c>
      <x:c r="O46" s="95" t="b">
        <x:v>1</x:v>
      </x:c>
      <x:c r="P46" s="95" t="b">
        <x:v>0</x:v>
      </x:c>
      <x:c r="Q46" s="95" t="b">
        <x:v>0</x:v>
      </x:c>
      <x:c r="R46" s="48" t="str">
        <x:v>중국어|Chinese</x:v>
      </x:c>
      <x:c r="S46" s="48" t="str">
        <x:v>중국어|Chinese</x:v>
      </x:c>
      <x:c r="T46" s="48" t="str">
        <x:v>www.scis.sc.kr</x:v>
      </x:c>
      <x:c r="U46" s="48" t="str">
        <x:v>http://www.scis.sc.kr</x:v>
      </x:c>
      <x:c r="V46" s="48" t="str">
        <x:v>scis.sc.kr</x:v>
      </x:c>
      <x:c r="W46" s="48" t="str">
        <x:v>ISI</x:v>
      </x:c>
      <x:c r="X46" s="48" t="str">
        <x:v>ST01:38</x:v>
      </x:c>
      <x:c r="Y46" s="48" t="str">
        <x:v>RESOLVED</x:v>
      </x:c>
      <x:c r="Z46" s="48" t="str">
        <x:v>https://www.isi.go.kr/schl/info/SinfoView.do?schoolId=38&amp;schoolType=ST01</x:v>
      </x:c>
      <x:c r="AA46" s="48" t="str">
        <x:v>수원화교중정소학교 | 경기도 수원시 팔달구 효원로85번길 62-7</x:v>
      </x:c>
      <x:c r="AB46" s="48" t="str">
        <x:v>ACTIVE</x:v>
      </x:c>
      <x:c r="AC46" s="48" t="str">
        <x:v>VERIFIED_OFFICIAL_REGISTRY</x:v>
      </x:c>
      <x:c r="AD46" s="101" t="str">
        <x:v>2026-08-27</x:v>
      </x:c>
      <x:c r="AE46" s="101" t="str">
        <x:v>NOT_CHECKED</x:v>
      </x:c>
      <x:c r="AF46" s="101" t="str"/>
      <x:c r="AG46" s="101" t="str">
        <x:v>NOT_STARTED</x:v>
      </x:c>
      <x:c r="AH46" s="101" t="str">
        <x:v>SEEDED</x:v>
      </x:c>
      <x:c r="AI46" s="101" t="str">
        <x:v>INTERNAL_ONLY</x:v>
      </x:c>
      <x:c r="AJ46" s="101" t="str">
        <x:v>P0</x:v>
      </x:c>
      <x:c r="AK46" s="101" t="str">
        <x:v>WEEKLY</x:v>
      </x:c>
      <x:c r="AL46" s="50" t="str"/>
    </x:row>
    <x:row r="47">
      <x:c r="A47" s="83" t="str">
        <x:v>isi:ST01:36</x:v>
      </x:c>
      <x:c r="B47" s="48" t="str">
        <x:v>국제 크리스쳔학교</x:v>
      </x:c>
      <x:c r="C47" s="48" t="str">
        <x:v>International Christian School of Uijongbu</x:v>
      </x:c>
      <x:c r="D47" s="48" t="str"/>
      <x:c r="E47" s="48" t="str"/>
      <x:c r="F47" s="48" t="str">
        <x:v>international-christian-school-uijongbu</x:v>
      </x:c>
      <x:c r="G47" s="48" t="str">
        <x:v>PROVISIONAL</x:v>
      </x:c>
      <x:c r="H47" s="48" t="str">
        <x:v>INTERNATIONAL_SCHOOL</x:v>
      </x:c>
      <x:c r="I47" s="48" t="str">
        <x:v>FOREIGN_SCHOOL</x:v>
      </x:c>
      <x:c r="J47" s="48" t="str">
        <x:v>경기도</x:v>
      </x:c>
      <x:c r="K47" s="48" t="str">
        <x:v>의정부시</x:v>
      </x:c>
      <x:c r="L47" s="48" t="str">
        <x:v>경기도 의정부시 진등로 28 (녹양동)</x:v>
      </x:c>
      <x:c r="M47" s="48" t="str">
        <x:v>초등학교,중학교,고등학교</x:v>
      </x:c>
      <x:c r="N47" s="95" t="b">
        <x:v>0</x:v>
      </x:c>
      <x:c r="O47" s="95" t="b">
        <x:v>1</x:v>
      </x:c>
      <x:c r="P47" s="95" t="b">
        <x:v>1</x:v>
      </x:c>
      <x:c r="Q47" s="95" t="b">
        <x:v>1</x:v>
      </x:c>
      <x:c r="R47" s="48" t="str">
        <x:v>영어|English</x:v>
      </x:c>
      <x:c r="S47" s="48" t="str">
        <x:v>영어|English</x:v>
      </x:c>
      <x:c r="T47" s="48" t="str">
        <x:v>http://www.icsu.kr</x:v>
      </x:c>
      <x:c r="U47" s="48" t="str">
        <x:v>http://www.icsu.kr</x:v>
      </x:c>
      <x:c r="V47" s="48" t="str">
        <x:v>icsu.kr</x:v>
      </x:c>
      <x:c r="W47" s="48" t="str">
        <x:v>ISI</x:v>
      </x:c>
      <x:c r="X47" s="48" t="str">
        <x:v>ST01:36</x:v>
      </x:c>
      <x:c r="Y47" s="48" t="str">
        <x:v>RESOLVED</x:v>
      </x:c>
      <x:c r="Z47" s="48" t="str">
        <x:v>https://www.isi.go.kr/schl/info/SinfoView.do?schoolId=36&amp;schoolType=ST01</x:v>
      </x:c>
      <x:c r="AA47" s="48" t="str">
        <x:v>국제 크리스쳔학교 | 경기도 의정부시 진등로 28 (녹양동)</x:v>
      </x:c>
      <x:c r="AB47" s="48" t="str">
        <x:v>ACTIVE</x:v>
      </x:c>
      <x:c r="AC47" s="48" t="str">
        <x:v>VERIFIED_OFFICIAL_REGISTRY</x:v>
      </x:c>
      <x:c r="AD47" s="101" t="str">
        <x:v>2026-08-27</x:v>
      </x:c>
      <x:c r="AE47" s="101" t="str">
        <x:v>NOT_CHECKED</x:v>
      </x:c>
      <x:c r="AF47" s="101" t="str"/>
      <x:c r="AG47" s="101" t="str">
        <x:v>NOT_STARTED</x:v>
      </x:c>
      <x:c r="AH47" s="101" t="str">
        <x:v>SEEDED</x:v>
      </x:c>
      <x:c r="AI47" s="101" t="str">
        <x:v>INTERNAL_ONLY</x:v>
      </x:c>
      <x:c r="AJ47" s="101" t="str">
        <x:v>P0</x:v>
      </x:c>
      <x:c r="AK47" s="101" t="str">
        <x:v>WEEKLY</x:v>
      </x:c>
      <x:c r="AL47" s="50" t="str"/>
    </x:row>
    <x:row r="48">
      <x:c r="A48" s="83" t="str">
        <x:v>isi:ST01:57</x:v>
      </x:c>
      <x:c r="B48" s="48" t="str">
        <x:v>평택크리스천외국인학교</x:v>
      </x:c>
      <x:c r="C48" s="48" t="str">
        <x:v>Pyeongtaek International Christian School</x:v>
      </x:c>
      <x:c r="D48" s="48" t="str"/>
      <x:c r="E48" s="48" t="str"/>
      <x:c r="F48" s="48" t="str">
        <x:v>pyeongtaek-international-christian-school</x:v>
      </x:c>
      <x:c r="G48" s="48" t="str">
        <x:v>PROVISIONAL</x:v>
      </x:c>
      <x:c r="H48" s="48" t="str">
        <x:v>INTERNATIONAL_SCHOOL</x:v>
      </x:c>
      <x:c r="I48" s="48" t="str">
        <x:v>FOREIGN_SCHOOL</x:v>
      </x:c>
      <x:c r="J48" s="48" t="str">
        <x:v>경기도</x:v>
      </x:c>
      <x:c r="K48" s="48" t="str">
        <x:v>평택시</x:v>
      </x:c>
      <x:c r="L48" s="48" t="str">
        <x:v>경기도 평택시 신대고잔길 53</x:v>
      </x:c>
      <x:c r="M48" s="48" t="str">
        <x:v>유치원,초등학교,중학교,고등학교</x:v>
      </x:c>
      <x:c r="N48" s="95" t="b">
        <x:v>1</x:v>
      </x:c>
      <x:c r="O48" s="95" t="b">
        <x:v>1</x:v>
      </x:c>
      <x:c r="P48" s="95" t="b">
        <x:v>1</x:v>
      </x:c>
      <x:c r="Q48" s="95" t="b">
        <x:v>1</x:v>
      </x:c>
      <x:c r="R48" s="48" t="str">
        <x:v>영어|English</x:v>
      </x:c>
      <x:c r="S48" s="48" t="str">
        <x:v>영어|English</x:v>
      </x:c>
      <x:c r="T48" s="48" t="str">
        <x:v>http://www.icsptk.org</x:v>
      </x:c>
      <x:c r="U48" s="48" t="str">
        <x:v>http://www.icsptk.org</x:v>
      </x:c>
      <x:c r="V48" s="48" t="str">
        <x:v>icsptk.org</x:v>
      </x:c>
      <x:c r="W48" s="48" t="str">
        <x:v>ISI</x:v>
      </x:c>
      <x:c r="X48" s="48" t="str">
        <x:v>ST01:57</x:v>
      </x:c>
      <x:c r="Y48" s="48" t="str">
        <x:v>RESOLVED</x:v>
      </x:c>
      <x:c r="Z48" s="48" t="str">
        <x:v>https://www.isi.go.kr/schl/info/SinfoView.do?schoolId=57&amp;schoolType=ST01</x:v>
      </x:c>
      <x:c r="AA48" s="48" t="str">
        <x:v>평택크리스천외국인학교 | 경기도 평택시 신대고잔길 53</x:v>
      </x:c>
      <x:c r="AB48" s="48" t="str">
        <x:v>ACTIVE</x:v>
      </x:c>
      <x:c r="AC48" s="48" t="str">
        <x:v>VERIFIED_OFFICIAL_REGISTRY</x:v>
      </x:c>
      <x:c r="AD48" s="101" t="str">
        <x:v>2026-08-27</x:v>
      </x:c>
      <x:c r="AE48" s="101" t="str">
        <x:v>NOT_CHECKED</x:v>
      </x:c>
      <x:c r="AF48" s="101" t="str"/>
      <x:c r="AG48" s="101" t="str">
        <x:v>NOT_STARTED</x:v>
      </x:c>
      <x:c r="AH48" s="101" t="str">
        <x:v>SEEDED</x:v>
      </x:c>
      <x:c r="AI48" s="101" t="str">
        <x:v>INTERNAL_ONLY</x:v>
      </x:c>
      <x:c r="AJ48" s="101" t="str">
        <x:v>P0</x:v>
      </x:c>
      <x:c r="AK48" s="101" t="str">
        <x:v>WEEKLY</x:v>
      </x:c>
      <x:c r="AL48" s="50" t="str"/>
    </x:row>
    <x:row r="49">
      <x:c r="A49" s="83" t="str">
        <x:v>isi:ST01:1</x:v>
      </x:c>
      <x:c r="B49" s="48" t="str">
        <x:v>한국외국인학교(서울캠퍼스)</x:v>
      </x:c>
      <x:c r="C49" s="48" t="str">
        <x:v>Korea International School - Seoul</x:v>
      </x:c>
      <x:c r="D49" s="48" t="str">
        <x:v>korea-international-school</x:v>
      </x:c>
      <x:c r="E49" s="48" t="str">
        <x:v>Seoul Campus</x:v>
      </x:c>
      <x:c r="F49" s="48" t="str">
        <x:v>korea-international-school-seoul</x:v>
      </x:c>
      <x:c r="G49" s="48" t="str">
        <x:v>PROVISIONAL</x:v>
      </x:c>
      <x:c r="H49" s="48" t="str">
        <x:v>INTERNATIONAL_SCHOOL</x:v>
      </x:c>
      <x:c r="I49" s="48" t="str">
        <x:v>FOREIGN_SCHOOL</x:v>
      </x:c>
      <x:c r="J49" s="48" t="str">
        <x:v>서울특별시</x:v>
      </x:c>
      <x:c r="K49" s="48" t="str">
        <x:v>강남구</x:v>
      </x:c>
      <x:c r="L49" s="48" t="str">
        <x:v>서울특별시 강남구 개포로 408</x:v>
      </x:c>
      <x:c r="M49" s="48" t="str">
        <x:v>유치원,초등학교</x:v>
      </x:c>
      <x:c r="N49" s="95" t="b">
        <x:v>1</x:v>
      </x:c>
      <x:c r="O49" s="95" t="b">
        <x:v>1</x:v>
      </x:c>
      <x:c r="P49" s="95" t="b">
        <x:v>0</x:v>
      </x:c>
      <x:c r="Q49" s="95" t="b">
        <x:v>0</x:v>
      </x:c>
      <x:c r="R49" s="48" t="str">
        <x:v>영어|English</x:v>
      </x:c>
      <x:c r="S49" s="48" t="str">
        <x:v>영어|English</x:v>
      </x:c>
      <x:c r="T49" s="48" t="str">
        <x:v>http://kisseoul.or.kr/</x:v>
      </x:c>
      <x:c r="U49" s="48" t="str">
        <x:v>http://kisseoul.or.kr</x:v>
      </x:c>
      <x:c r="V49" s="48" t="str">
        <x:v>kisseoul.or.kr</x:v>
      </x:c>
      <x:c r="W49" s="48" t="str">
        <x:v>ISI</x:v>
      </x:c>
      <x:c r="X49" s="48" t="str">
        <x:v>ST01:1</x:v>
      </x:c>
      <x:c r="Y49" s="48" t="str">
        <x:v>RESOLVED</x:v>
      </x:c>
      <x:c r="Z49" s="48" t="str">
        <x:v>https://www.isi.go.kr/schl/info/SinfoView.do?schoolId=1&amp;schoolType=ST01</x:v>
      </x:c>
      <x:c r="AA49" s="48" t="str">
        <x:v>한국외국인학교(서울캠퍼스) | 서울특별시 강남구 개포로 408</x:v>
      </x:c>
      <x:c r="AB49" s="48" t="str">
        <x:v>ACTIVE</x:v>
      </x:c>
      <x:c r="AC49" s="48" t="str">
        <x:v>VERIFIED_OFFICIAL_REGISTRY</x:v>
      </x:c>
      <x:c r="AD49" s="101" t="str">
        <x:v>2026-08-27</x:v>
      </x:c>
      <x:c r="AE49" s="101" t="str">
        <x:v>NOT_CHECKED</x:v>
      </x:c>
      <x:c r="AF49" s="101" t="str"/>
      <x:c r="AG49" s="101" t="str">
        <x:v>NOT_STARTED</x:v>
      </x:c>
      <x:c r="AH49" s="101" t="str">
        <x:v>SEEDED</x:v>
      </x:c>
      <x:c r="AI49" s="101" t="str">
        <x:v>INTERNAL_ONLY</x:v>
      </x:c>
      <x:c r="AJ49" s="101" t="str">
        <x:v>P0</x:v>
      </x:c>
      <x:c r="AK49" s="101" t="str">
        <x:v>WEEKLY</x:v>
      </x:c>
      <x:c r="AL49" s="50" t="str"/>
    </x:row>
    <x:row r="50">
      <x:c r="A50" s="83" t="str">
        <x:v>isi:ST01:20</x:v>
      </x:c>
      <x:c r="B50" s="48" t="str">
        <x:v>재한몽골학교</x:v>
      </x:c>
      <x:c r="C50" s="48" t="str">
        <x:v>International Mongolian School</x:v>
      </x:c>
      <x:c r="D50" s="48" t="str"/>
      <x:c r="E50" s="48" t="str"/>
      <x:c r="F50" s="48" t="str">
        <x:v>international-mongolian-school</x:v>
      </x:c>
      <x:c r="G50" s="48" t="str">
        <x:v>PROVISIONAL</x:v>
      </x:c>
      <x:c r="H50" s="48" t="str">
        <x:v>INTERNATIONAL_SCHOOL</x:v>
      </x:c>
      <x:c r="I50" s="48" t="str">
        <x:v>FOREIGN_SCHOOL</x:v>
      </x:c>
      <x:c r="J50" s="48" t="str">
        <x:v>서울특별시</x:v>
      </x:c>
      <x:c r="K50" s="48" t="str">
        <x:v>광진구</x:v>
      </x:c>
      <x:c r="L50" s="48" t="str">
        <x:v>서울특별시 광진구 광장로 1 (광장동)</x:v>
      </x:c>
      <x:c r="M50" s="48" t="str">
        <x:v>초등학교,중학교,고등학교</x:v>
      </x:c>
      <x:c r="N50" s="95" t="b">
        <x:v>0</x:v>
      </x:c>
      <x:c r="O50" s="95" t="b">
        <x:v>1</x:v>
      </x:c>
      <x:c r="P50" s="95" t="b">
        <x:v>1</x:v>
      </x:c>
      <x:c r="Q50" s="95" t="b">
        <x:v>1</x:v>
      </x:c>
      <x:c r="R50" s="48" t="str">
        <x:v>몽골어,한국어|Mongolian,Korean</x:v>
      </x:c>
      <x:c r="S50" s="48" t="str">
        <x:v>몽골어,한국어|Mongolian,Korean</x:v>
      </x:c>
      <x:c r="T50" s="48" t="str">
        <x:v>http://www.mongolschool.org</x:v>
      </x:c>
      <x:c r="U50" s="48" t="str">
        <x:v>http://www.mongolschool.org</x:v>
      </x:c>
      <x:c r="V50" s="48" t="str">
        <x:v>mongolschool.org</x:v>
      </x:c>
      <x:c r="W50" s="48" t="str">
        <x:v>ISI</x:v>
      </x:c>
      <x:c r="X50" s="48" t="str">
        <x:v>ST01:20</x:v>
      </x:c>
      <x:c r="Y50" s="48" t="str">
        <x:v>RESOLVED</x:v>
      </x:c>
      <x:c r="Z50" s="48" t="str">
        <x:v>https://www.isi.go.kr/schl/info/SinfoView.do?schoolId=20&amp;schoolType=ST01</x:v>
      </x:c>
      <x:c r="AA50" s="48" t="str">
        <x:v>재한몽골학교 | 서울특별시 광진구 광장로 1 (광장동)</x:v>
      </x:c>
      <x:c r="AB50" s="48" t="str">
        <x:v>ACTIVE</x:v>
      </x:c>
      <x:c r="AC50" s="48" t="str">
        <x:v>VERIFIED_OFFICIAL_REGISTRY</x:v>
      </x:c>
      <x:c r="AD50" s="101" t="str">
        <x:v>2026-08-27</x:v>
      </x:c>
      <x:c r="AE50" s="101" t="str">
        <x:v>NOT_CHECKED</x:v>
      </x:c>
      <x:c r="AF50" s="101" t="str"/>
      <x:c r="AG50" s="101" t="str">
        <x:v>NOT_STARTED</x:v>
      </x:c>
      <x:c r="AH50" s="101" t="str">
        <x:v>SEEDED</x:v>
      </x:c>
      <x:c r="AI50" s="101" t="str">
        <x:v>INTERNAL_ONLY</x:v>
      </x:c>
      <x:c r="AJ50" s="101" t="str">
        <x:v>P0</x:v>
      </x:c>
      <x:c r="AK50" s="101" t="str">
        <x:v>WEEKLY</x:v>
      </x:c>
      <x:c r="AL50" s="50" t="str"/>
    </x:row>
    <x:row r="51">
      <x:c r="A51" s="83" t="str">
        <x:v>isi:ST01:3</x:v>
      </x:c>
      <x:c r="B51" s="48" t="str">
        <x:v>한국켄트외국인학교</x:v>
      </x:c>
      <x:c r="C51" s="48" t="str">
        <x:v>KOREA KENT FOREIGN SCHOOL</x:v>
      </x:c>
      <x:c r="D51" s="48" t="str"/>
      <x:c r="E51" s="48" t="str"/>
      <x:c r="F51" s="48" t="str">
        <x:v>korea-kent-foreign-school</x:v>
      </x:c>
      <x:c r="G51" s="48" t="str">
        <x:v>PROVISIONAL</x:v>
      </x:c>
      <x:c r="H51" s="48" t="str">
        <x:v>INTERNATIONAL_SCHOOL</x:v>
      </x:c>
      <x:c r="I51" s="48" t="str">
        <x:v>FOREIGN_SCHOOL</x:v>
      </x:c>
      <x:c r="J51" s="48" t="str">
        <x:v>서울특별시</x:v>
      </x:c>
      <x:c r="K51" s="48" t="str">
        <x:v>광진구</x:v>
      </x:c>
      <x:c r="L51" s="48" t="str">
        <x:v>서울특별시 광진구 자양로35길 13</x:v>
      </x:c>
      <x:c r="M51" s="48" t="str">
        <x:v>유치원,초등학교,중학교,고등학교</x:v>
      </x:c>
      <x:c r="N51" s="95" t="b">
        <x:v>1</x:v>
      </x:c>
      <x:c r="O51" s="95" t="b">
        <x:v>1</x:v>
      </x:c>
      <x:c r="P51" s="95" t="b">
        <x:v>1</x:v>
      </x:c>
      <x:c r="Q51" s="95" t="b">
        <x:v>1</x:v>
      </x:c>
      <x:c r="R51" s="48" t="str">
        <x:v>영어|English</x:v>
      </x:c>
      <x:c r="S51" s="48" t="str">
        <x:v>영어|English</x:v>
      </x:c>
      <x:c r="T51" s="48" t="str">
        <x:v>http://www.kkfs.org</x:v>
      </x:c>
      <x:c r="U51" s="48" t="str">
        <x:v>http://www.kkfs.org</x:v>
      </x:c>
      <x:c r="V51" s="48" t="str">
        <x:v>kkfs.org</x:v>
      </x:c>
      <x:c r="W51" s="48" t="str">
        <x:v>ISI</x:v>
      </x:c>
      <x:c r="X51" s="48" t="str">
        <x:v>ST01:3</x:v>
      </x:c>
      <x:c r="Y51" s="48" t="str">
        <x:v>RESOLVED</x:v>
      </x:c>
      <x:c r="Z51" s="48" t="str">
        <x:v>https://www.isi.go.kr/schl/info/SinfoView.do?schoolId=3&amp;schoolType=ST01</x:v>
      </x:c>
      <x:c r="AA51" s="48" t="str">
        <x:v>한국켄트외국인학교 | 서울특별시 광진구 자양로35길 13</x:v>
      </x:c>
      <x:c r="AB51" s="48" t="str">
        <x:v>ACTIVE</x:v>
      </x:c>
      <x:c r="AC51" s="48" t="str">
        <x:v>VERIFIED_OFFICIAL_REGISTRY</x:v>
      </x:c>
      <x:c r="AD51" s="101" t="str">
        <x:v>2026-08-27</x:v>
      </x:c>
      <x:c r="AE51" s="101" t="str">
        <x:v>NOT_CHECKED</x:v>
      </x:c>
      <x:c r="AF51" s="101" t="str"/>
      <x:c r="AG51" s="101" t="str">
        <x:v>NOT_STARTED</x:v>
      </x:c>
      <x:c r="AH51" s="101" t="str">
        <x:v>SEEDED</x:v>
      </x:c>
      <x:c r="AI51" s="101" t="str">
        <x:v>INTERNAL_ONLY</x:v>
      </x:c>
      <x:c r="AJ51" s="101" t="str">
        <x:v>P0</x:v>
      </x:c>
      <x:c r="AK51" s="101" t="str">
        <x:v>WEEKLY</x:v>
      </x:c>
      <x:c r="AL51" s="50" t="str"/>
    </x:row>
    <x:row r="52">
      <x:c r="A52" s="83" t="str">
        <x:v>isi:ST01:4</x:v>
      </x:c>
      <x:c r="B52" s="48" t="str">
        <x:v>아시아퍼시픽국제외국인학교</x:v>
      </x:c>
      <x:c r="C52" s="48" t="str">
        <x:v>Asia Pacific International School</x:v>
      </x:c>
      <x:c r="D52" s="48" t="str"/>
      <x:c r="E52" s="48" t="str"/>
      <x:c r="F52" s="48" t="str">
        <x:v>asia-pacific-international-school-seoul</x:v>
      </x:c>
      <x:c r="G52" s="48" t="str">
        <x:v>PROVISIONAL</x:v>
      </x:c>
      <x:c r="H52" s="48" t="str">
        <x:v>INTERNATIONAL_SCHOOL</x:v>
      </x:c>
      <x:c r="I52" s="48" t="str">
        <x:v>FOREIGN_SCHOOL</x:v>
      </x:c>
      <x:c r="J52" s="48" t="str">
        <x:v>서울특별시</x:v>
      </x:c>
      <x:c r="K52" s="48" t="str">
        <x:v>노원구</x:v>
      </x:c>
      <x:c r="L52" s="48" t="str">
        <x:v>서울특별시 노원구 월계로45가길 57 (월계동)</x:v>
      </x:c>
      <x:c r="M52" s="48" t="str">
        <x:v>유치원,초등학교,중학교,고등학교</x:v>
      </x:c>
      <x:c r="N52" s="95" t="b">
        <x:v>1</x:v>
      </x:c>
      <x:c r="O52" s="95" t="b">
        <x:v>1</x:v>
      </x:c>
      <x:c r="P52" s="95" t="b">
        <x:v>1</x:v>
      </x:c>
      <x:c r="Q52" s="95" t="b">
        <x:v>1</x:v>
      </x:c>
      <x:c r="R52" s="48" t="str">
        <x:v>영어|English</x:v>
      </x:c>
      <x:c r="S52" s="48" t="str">
        <x:v>영어|English</x:v>
      </x:c>
      <x:c r="T52" s="48" t="str">
        <x:v>http://www.apis.org</x:v>
      </x:c>
      <x:c r="U52" s="48" t="str">
        <x:v>http://www.apis.org</x:v>
      </x:c>
      <x:c r="V52" s="48" t="str">
        <x:v>apis.org</x:v>
      </x:c>
      <x:c r="W52" s="48" t="str">
        <x:v>ISI</x:v>
      </x:c>
      <x:c r="X52" s="48" t="str">
        <x:v>ST01:4</x:v>
      </x:c>
      <x:c r="Y52" s="48" t="str">
        <x:v>RESOLVED</x:v>
      </x:c>
      <x:c r="Z52" s="48" t="str">
        <x:v>https://www.isi.go.kr/schl/info/SinfoView.do?schoolId=4&amp;schoolType=ST01</x:v>
      </x:c>
      <x:c r="AA52" s="48" t="str">
        <x:v>아시아퍼시픽국제외국인학교 | 서울특별시 노원구 월계로45가길 57 (월계동)</x:v>
      </x:c>
      <x:c r="AB52" s="48" t="str">
        <x:v>ACTIVE</x:v>
      </x:c>
      <x:c r="AC52" s="48" t="str">
        <x:v>VERIFIED_OFFICIAL_REGISTRY</x:v>
      </x:c>
      <x:c r="AD52" s="101" t="str">
        <x:v>2026-08-27</x:v>
      </x:c>
      <x:c r="AE52" s="101" t="str">
        <x:v>NOT_CHECKED</x:v>
      </x:c>
      <x:c r="AF52" s="101" t="str"/>
      <x:c r="AG52" s="101" t="str">
        <x:v>NOT_STARTED</x:v>
      </x:c>
      <x:c r="AH52" s="101" t="str">
        <x:v>SEEDED</x:v>
      </x:c>
      <x:c r="AI52" s="101" t="str">
        <x:v>INTERNAL_ONLY</x:v>
      </x:c>
      <x:c r="AJ52" s="101" t="str">
        <x:v>P0</x:v>
      </x:c>
      <x:c r="AK52" s="101" t="str">
        <x:v>WEEKLY</x:v>
      </x:c>
      <x:c r="AL52" s="50" t="str"/>
    </x:row>
    <x:row r="53">
      <x:c r="A53" s="83" t="str">
        <x:v>isi:ST01:76</x:v>
      </x:c>
      <x:c r="B53" s="48" t="str">
        <x:v>서울드와이트외국인학교</x:v>
      </x:c>
      <x:c r="C53" s="48" t="str">
        <x:v>Dwight School Seoul</x:v>
      </x:c>
      <x:c r="D53" s="48" t="str"/>
      <x:c r="E53" s="48" t="str"/>
      <x:c r="F53" s="48" t="str">
        <x:v>dwight-school-seoul</x:v>
      </x:c>
      <x:c r="G53" s="48" t="str">
        <x:v>PROVISIONAL</x:v>
      </x:c>
      <x:c r="H53" s="48" t="str">
        <x:v>INTERNATIONAL_SCHOOL</x:v>
      </x:c>
      <x:c r="I53" s="48" t="str">
        <x:v>FOREIGN_SCHOOL</x:v>
      </x:c>
      <x:c r="J53" s="48" t="str">
        <x:v>서울특별시</x:v>
      </x:c>
      <x:c r="K53" s="48" t="str">
        <x:v>마포구</x:v>
      </x:c>
      <x:c r="L53" s="48" t="str">
        <x:v>서울특별시 마포구 월드컵북로62길 21 (상암동)</x:v>
      </x:c>
      <x:c r="M53" s="48" t="str">
        <x:v>유치원,초등학교,중학교,고등학교</x:v>
      </x:c>
      <x:c r="N53" s="95" t="b">
        <x:v>1</x:v>
      </x:c>
      <x:c r="O53" s="95" t="b">
        <x:v>1</x:v>
      </x:c>
      <x:c r="P53" s="95" t="b">
        <x:v>1</x:v>
      </x:c>
      <x:c r="Q53" s="95" t="b">
        <x:v>1</x:v>
      </x:c>
      <x:c r="R53" s="48" t="str">
        <x:v>영어|English</x:v>
      </x:c>
      <x:c r="S53" s="48" t="str">
        <x:v>영어|English</x:v>
      </x:c>
      <x:c r="T53" s="48" t="str">
        <x:v>http://www.dwight.or.kr/</x:v>
      </x:c>
      <x:c r="U53" s="48" t="str">
        <x:v>http://www.dwight.or.kr</x:v>
      </x:c>
      <x:c r="V53" s="48" t="str">
        <x:v>dwight.or.kr</x:v>
      </x:c>
      <x:c r="W53" s="48" t="str">
        <x:v>ISI</x:v>
      </x:c>
      <x:c r="X53" s="48" t="str">
        <x:v>ST01:76</x:v>
      </x:c>
      <x:c r="Y53" s="48" t="str">
        <x:v>RESOLVED</x:v>
      </x:c>
      <x:c r="Z53" s="48" t="str">
        <x:v>https://www.isi.go.kr/schl/info/SinfoView.do?schoolId=76&amp;schoolType=ST01</x:v>
      </x:c>
      <x:c r="AA53" s="48" t="str">
        <x:v>서울드와이트외국인학교 | 서울특별시 마포구 월드컵북로62길 21 (상암동)</x:v>
      </x:c>
      <x:c r="AB53" s="48" t="str">
        <x:v>ACTIVE</x:v>
      </x:c>
      <x:c r="AC53" s="48" t="str">
        <x:v>VERIFIED_OFFICIAL_REGISTRY</x:v>
      </x:c>
      <x:c r="AD53" s="101" t="str">
        <x:v>2026-08-27</x:v>
      </x:c>
      <x:c r="AE53" s="101" t="str">
        <x:v>NOT_CHECKED</x:v>
      </x:c>
      <x:c r="AF53" s="101" t="str"/>
      <x:c r="AG53" s="101" t="str">
        <x:v>NOT_STARTED</x:v>
      </x:c>
      <x:c r="AH53" s="101" t="str">
        <x:v>SEEDED</x:v>
      </x:c>
      <x:c r="AI53" s="101" t="str">
        <x:v>INTERNAL_ONLY</x:v>
      </x:c>
      <x:c r="AJ53" s="101" t="str">
        <x:v>P0</x:v>
      </x:c>
      <x:c r="AK53" s="101" t="str">
        <x:v>WEEKLY</x:v>
      </x:c>
      <x:c r="AL53" s="50" t="str"/>
    </x:row>
    <x:row r="54">
      <x:c r="A54" s="83" t="str">
        <x:v>isi:ST01:18</x:v>
      </x:c>
      <x:c r="B54" s="48" t="str">
        <x:v>서울일본인학교</x:v>
      </x:c>
      <x:c r="C54" s="48" t="str">
        <x:v>Japanese School in Seoul</x:v>
      </x:c>
      <x:c r="D54" s="48" t="str"/>
      <x:c r="E54" s="48" t="str"/>
      <x:c r="F54" s="48" t="str">
        <x:v>japanese-school-in-seoul</x:v>
      </x:c>
      <x:c r="G54" s="48" t="str">
        <x:v>PROVISIONAL</x:v>
      </x:c>
      <x:c r="H54" s="48" t="str">
        <x:v>INTERNATIONAL_SCHOOL</x:v>
      </x:c>
      <x:c r="I54" s="48" t="str">
        <x:v>FOREIGN_SCHOOL</x:v>
      </x:c>
      <x:c r="J54" s="48" t="str">
        <x:v>서울특별시</x:v>
      </x:c>
      <x:c r="K54" s="48" t="str">
        <x:v>마포구</x:v>
      </x:c>
      <x:c r="L54" s="48" t="str">
        <x:v>서울특별시 마포구 월드컵북로62길 11 (상암동)</x:v>
      </x:c>
      <x:c r="M54" s="48" t="str">
        <x:v>유치원,초등학교,중학교</x:v>
      </x:c>
      <x:c r="N54" s="95" t="b">
        <x:v>1</x:v>
      </x:c>
      <x:c r="O54" s="95" t="b">
        <x:v>1</x:v>
      </x:c>
      <x:c r="P54" s="95" t="b">
        <x:v>1</x:v>
      </x:c>
      <x:c r="Q54" s="95" t="b">
        <x:v>0</x:v>
      </x:c>
      <x:c r="R54" s="48" t="str">
        <x:v>일본어|Japanese</x:v>
      </x:c>
      <x:c r="S54" s="48" t="str">
        <x:v>일본어|Japanese</x:v>
      </x:c>
      <x:c r="T54" s="48" t="str">
        <x:v>http://www.sjs.or.kr</x:v>
      </x:c>
      <x:c r="U54" s="48" t="str">
        <x:v>http://www.sjs.or.kr</x:v>
      </x:c>
      <x:c r="V54" s="48" t="str">
        <x:v>sjs.or.kr</x:v>
      </x:c>
      <x:c r="W54" s="48" t="str">
        <x:v>ISI</x:v>
      </x:c>
      <x:c r="X54" s="48" t="str">
        <x:v>ST01:18</x:v>
      </x:c>
      <x:c r="Y54" s="48" t="str">
        <x:v>RESOLVED</x:v>
      </x:c>
      <x:c r="Z54" s="48" t="str">
        <x:v>https://www.isi.go.kr/schl/info/SinfoView.do?schoolId=18&amp;schoolType=ST01</x:v>
      </x:c>
      <x:c r="AA54" s="48" t="str">
        <x:v>서울일본인학교 | 서울특별시 마포구 월드컵북로62길 11 (상암동)</x:v>
      </x:c>
      <x:c r="AB54" s="48" t="str">
        <x:v>ACTIVE</x:v>
      </x:c>
      <x:c r="AC54" s="48" t="str">
        <x:v>VERIFIED_OFFICIAL_REGISTRY</x:v>
      </x:c>
      <x:c r="AD54" s="101" t="str">
        <x:v>2026-08-27</x:v>
      </x:c>
      <x:c r="AE54" s="101" t="str">
        <x:v>NOT_CHECKED</x:v>
      </x:c>
      <x:c r="AF54" s="101" t="str"/>
      <x:c r="AG54" s="101" t="str">
        <x:v>NOT_STARTED</x:v>
      </x:c>
      <x:c r="AH54" s="101" t="str">
        <x:v>SEEDED</x:v>
      </x:c>
      <x:c r="AI54" s="101" t="str">
        <x:v>INTERNAL_ONLY</x:v>
      </x:c>
      <x:c r="AJ54" s="101" t="str">
        <x:v>P0</x:v>
      </x:c>
      <x:c r="AK54" s="101" t="str">
        <x:v>WEEKLY</x:v>
      </x:c>
      <x:c r="AL54" s="50" t="str"/>
    </x:row>
    <x:row r="55">
      <x:c r="A55" s="83" t="str">
        <x:v>isi:ST01:5</x:v>
      </x:c>
      <x:c r="B55" s="48" t="str">
        <x:v>서울외국인학교</x:v>
      </x:c>
      <x:c r="C55" s="48" t="str">
        <x:v>Seoul Foreign School</x:v>
      </x:c>
      <x:c r="D55" s="48" t="str"/>
      <x:c r="E55" s="48" t="str"/>
      <x:c r="F55" s="48" t="str">
        <x:v>seoul-foreign-school</x:v>
      </x:c>
      <x:c r="G55" s="48" t="str">
        <x:v>PROVISIONAL</x:v>
      </x:c>
      <x:c r="H55" s="48" t="str">
        <x:v>INTERNATIONAL_SCHOOL</x:v>
      </x:c>
      <x:c r="I55" s="48" t="str">
        <x:v>FOREIGN_SCHOOL</x:v>
      </x:c>
      <x:c r="J55" s="48" t="str">
        <x:v>서울특별시</x:v>
      </x:c>
      <x:c r="K55" s="48" t="str">
        <x:v>서대문구</x:v>
      </x:c>
      <x:c r="L55" s="48" t="str">
        <x:v>서울특별시 서대문구 연희로22길 39</x:v>
      </x:c>
      <x:c r="M55" s="48" t="str">
        <x:v>유치원,초등학교,중학교,고등학교</x:v>
      </x:c>
      <x:c r="N55" s="95" t="b">
        <x:v>1</x:v>
      </x:c>
      <x:c r="O55" s="95" t="b">
        <x:v>1</x:v>
      </x:c>
      <x:c r="P55" s="95" t="b">
        <x:v>1</x:v>
      </x:c>
      <x:c r="Q55" s="95" t="b">
        <x:v>1</x:v>
      </x:c>
      <x:c r="R55" s="48" t="str">
        <x:v>영어|English</x:v>
      </x:c>
      <x:c r="S55" s="48" t="str">
        <x:v>영어|English</x:v>
      </x:c>
      <x:c r="T55" s="48" t="str">
        <x:v>http://www.seoulforeign.org</x:v>
      </x:c>
      <x:c r="U55" s="48" t="str">
        <x:v>http://www.seoulforeign.org</x:v>
      </x:c>
      <x:c r="V55" s="48" t="str">
        <x:v>seoulforeign.org</x:v>
      </x:c>
      <x:c r="W55" s="48" t="str">
        <x:v>ISI</x:v>
      </x:c>
      <x:c r="X55" s="48" t="str">
        <x:v>ST01:5</x:v>
      </x:c>
      <x:c r="Y55" s="48" t="str">
        <x:v>RESOLVED</x:v>
      </x:c>
      <x:c r="Z55" s="48" t="str">
        <x:v>https://www.isi.go.kr/schl/info/SinfoView.do?schoolId=5&amp;schoolType=ST01</x:v>
      </x:c>
      <x:c r="AA55" s="48" t="str">
        <x:v>서울외국인학교 | 서울특별시 서대문구 연희로22길 39</x:v>
      </x:c>
      <x:c r="AB55" s="48" t="str">
        <x:v>ACTIVE</x:v>
      </x:c>
      <x:c r="AC55" s="48" t="str">
        <x:v>VERIFIED_OFFICIAL_REGISTRY</x:v>
      </x:c>
      <x:c r="AD55" s="101" t="str">
        <x:v>2026-08-27</x:v>
      </x:c>
      <x:c r="AE55" s="101" t="str">
        <x:v>NOT_CHECKED</x:v>
      </x:c>
      <x:c r="AF55" s="101" t="str"/>
      <x:c r="AG55" s="101" t="str">
        <x:v>NOT_STARTED</x:v>
      </x:c>
      <x:c r="AH55" s="101" t="str">
        <x:v>SEEDED</x:v>
      </x:c>
      <x:c r="AI55" s="101" t="str">
        <x:v>INTERNAL_ONLY</x:v>
      </x:c>
      <x:c r="AJ55" s="101" t="str">
        <x:v>P0</x:v>
      </x:c>
      <x:c r="AK55" s="101" t="str">
        <x:v>WEEKLY</x:v>
      </x:c>
      <x:c r="AL55" s="50" t="str"/>
    </x:row>
    <x:row r="56">
      <x:c r="A56" s="83" t="str">
        <x:v>isi:ST01:56</x:v>
      </x:c>
      <x:c r="B56" s="48" t="str">
        <x:v>덜위치칼리지서울영국학교</x:v>
      </x:c>
      <x:c r="C56" s="48" t="str">
        <x:v>Dulwich College Seoul British School</x:v>
      </x:c>
      <x:c r="D56" s="48" t="str"/>
      <x:c r="E56" s="48" t="str"/>
      <x:c r="F56" s="48" t="str">
        <x:v>dulwich-college-seoul</x:v>
      </x:c>
      <x:c r="G56" s="48" t="str">
        <x:v>PROVISIONAL</x:v>
      </x:c>
      <x:c r="H56" s="48" t="str">
        <x:v>INTERNATIONAL_SCHOOL</x:v>
      </x:c>
      <x:c r="I56" s="48" t="str">
        <x:v>FOREIGN_SCHOOL</x:v>
      </x:c>
      <x:c r="J56" s="48" t="str">
        <x:v>서울특별시</x:v>
      </x:c>
      <x:c r="K56" s="48" t="str">
        <x:v>서초구</x:v>
      </x:c>
      <x:c r="L56" s="48" t="str">
        <x:v>서울특별시 서초구 신반포로15길 6</x:v>
      </x:c>
      <x:c r="M56" s="48" t="str">
        <x:v>유치원,초등학교,중학교,고등학교</x:v>
      </x:c>
      <x:c r="N56" s="95" t="b">
        <x:v>1</x:v>
      </x:c>
      <x:c r="O56" s="95" t="b">
        <x:v>1</x:v>
      </x:c>
      <x:c r="P56" s="95" t="b">
        <x:v>1</x:v>
      </x:c>
      <x:c r="Q56" s="95" t="b">
        <x:v>1</x:v>
      </x:c>
      <x:c r="R56" s="48" t="str">
        <x:v>영어|English</x:v>
      </x:c>
      <x:c r="S56" s="48" t="str">
        <x:v>영어|English</x:v>
      </x:c>
      <x:c r="T56" s="48" t="str">
        <x:v>http://www.dulwich-seoul.kr</x:v>
      </x:c>
      <x:c r="U56" s="48" t="str">
        <x:v>http://www.dulwich-seoul.kr</x:v>
      </x:c>
      <x:c r="V56" s="48" t="str">
        <x:v>dulwich-seoul.kr</x:v>
      </x:c>
      <x:c r="W56" s="48" t="str">
        <x:v>ISI</x:v>
      </x:c>
      <x:c r="X56" s="48" t="str">
        <x:v>ST01:56</x:v>
      </x:c>
      <x:c r="Y56" s="48" t="str">
        <x:v>RESOLVED</x:v>
      </x:c>
      <x:c r="Z56" s="48" t="str">
        <x:v>https://www.isi.go.kr/schl/info/SinfoView.do?schoolId=56&amp;schoolType=ST01</x:v>
      </x:c>
      <x:c r="AA56" s="48" t="str">
        <x:v>덜위치칼리지서울영국학교 | 서울특별시 서초구 신반포로15길 6</x:v>
      </x:c>
      <x:c r="AB56" s="48" t="str">
        <x:v>ACTIVE</x:v>
      </x:c>
      <x:c r="AC56" s="48" t="str">
        <x:v>VERIFIED_OFFICIAL_REGISTRY</x:v>
      </x:c>
      <x:c r="AD56" s="101" t="str">
        <x:v>2026-08-27</x:v>
      </x:c>
      <x:c r="AE56" s="101" t="str">
        <x:v>NOT_CHECKED</x:v>
      </x:c>
      <x:c r="AF56" s="101" t="str"/>
      <x:c r="AG56" s="101" t="str">
        <x:v>NOT_STARTED</x:v>
      </x:c>
      <x:c r="AH56" s="101" t="str">
        <x:v>SEEDED</x:v>
      </x:c>
      <x:c r="AI56" s="101" t="str">
        <x:v>INTERNAL_ONLY</x:v>
      </x:c>
      <x:c r="AJ56" s="101" t="str">
        <x:v>P0</x:v>
      </x:c>
      <x:c r="AK56" s="101" t="str">
        <x:v>WEEKLY</x:v>
      </x:c>
      <x:c r="AL56" s="50" t="str"/>
    </x:row>
    <x:row r="57">
      <x:c r="A57" s="83" t="str">
        <x:v>isi:ST01:16</x:v>
      </x:c>
      <x:c r="B57" s="48" t="str">
        <x:v>서울프랑스학교</x:v>
      </x:c>
      <x:c r="C57" s="48" t="str">
        <x:v>Lycee Francais de Seoul</x:v>
      </x:c>
      <x:c r="D57" s="48" t="str"/>
      <x:c r="E57" s="48" t="str"/>
      <x:c r="F57" s="48" t="str">
        <x:v>lycee-francais-de-seoul</x:v>
      </x:c>
      <x:c r="G57" s="48" t="str">
        <x:v>PROVISIONAL</x:v>
      </x:c>
      <x:c r="H57" s="48" t="str">
        <x:v>INTERNATIONAL_SCHOOL</x:v>
      </x:c>
      <x:c r="I57" s="48" t="str">
        <x:v>FOREIGN_SCHOOL</x:v>
      </x:c>
      <x:c r="J57" s="48" t="str">
        <x:v>서울특별시</x:v>
      </x:c>
      <x:c r="K57" s="48" t="str">
        <x:v>서초구</x:v>
      </x:c>
      <x:c r="L57" s="48" t="str">
        <x:v>서울특별시 서초구 서래로 7 (반포동)</x:v>
      </x:c>
      <x:c r="M57" s="48" t="str">
        <x:v>유치원,초등학교,중학교,고등학교</x:v>
      </x:c>
      <x:c r="N57" s="95" t="b">
        <x:v>1</x:v>
      </x:c>
      <x:c r="O57" s="95" t="b">
        <x:v>1</x:v>
      </x:c>
      <x:c r="P57" s="95" t="b">
        <x:v>1</x:v>
      </x:c>
      <x:c r="Q57" s="95" t="b">
        <x:v>1</x:v>
      </x:c>
      <x:c r="R57" s="48" t="str">
        <x:v>프랑스어|Franch</x:v>
      </x:c>
      <x:c r="S57" s="48" t="str">
        <x:v>프랑스어|French</x:v>
      </x:c>
      <x:c r="T57" s="48" t="str">
        <x:v>http://lfseoul.org</x:v>
      </x:c>
      <x:c r="U57" s="48" t="str">
        <x:v>http://lfseoul.org</x:v>
      </x:c>
      <x:c r="V57" s="48" t="str">
        <x:v>lfseoul.org</x:v>
      </x:c>
      <x:c r="W57" s="48" t="str">
        <x:v>ISI</x:v>
      </x:c>
      <x:c r="X57" s="48" t="str">
        <x:v>ST01:16</x:v>
      </x:c>
      <x:c r="Y57" s="48" t="str">
        <x:v>RESOLVED</x:v>
      </x:c>
      <x:c r="Z57" s="48" t="str">
        <x:v>https://www.isi.go.kr/schl/info/SinfoView.do?schoolId=16&amp;schoolType=ST01</x:v>
      </x:c>
      <x:c r="AA57" s="48" t="str">
        <x:v>서울프랑스학교 | 서울특별시 서초구 서래로 7 (반포동)</x:v>
      </x:c>
      <x:c r="AB57" s="48" t="str">
        <x:v>ACTIVE</x:v>
      </x:c>
      <x:c r="AC57" s="48" t="str">
        <x:v>VERIFIED_OFFICIAL_REGISTRY</x:v>
      </x:c>
      <x:c r="AD57" s="101" t="str">
        <x:v>2026-08-27</x:v>
      </x:c>
      <x:c r="AE57" s="101" t="str">
        <x:v>NOT_CHECKED</x:v>
      </x:c>
      <x:c r="AF57" s="101" t="str"/>
      <x:c r="AG57" s="101" t="str">
        <x:v>NOT_STARTED</x:v>
      </x:c>
      <x:c r="AH57" s="101" t="str">
        <x:v>SEEDED</x:v>
      </x:c>
      <x:c r="AI57" s="101" t="str">
        <x:v>INTERNAL_ONLY</x:v>
      </x:c>
      <x:c r="AJ57" s="101" t="str">
        <x:v>P0</x:v>
      </x:c>
      <x:c r="AK57" s="101" t="str">
        <x:v>WEEKLY</x:v>
      </x:c>
      <x:c r="AL57" s="50" t="str">
        <x:v>Official ISI raw language text preserved; normalized value corrects only the obvious portal token 'Franch'.</x:v>
      </x:c>
    </x:row>
    <x:row r="58">
      <x:c r="A58" s="83" t="str">
        <x:v>isi:ST01:6</x:v>
      </x:c>
      <x:c r="B58" s="48" t="str">
        <x:v>코리아외국인학교</x:v>
      </x:c>
      <x:c r="C58" s="48" t="str">
        <x:v>Korea Foreign School</x:v>
      </x:c>
      <x:c r="D58" s="48" t="str"/>
      <x:c r="E58" s="48" t="str"/>
      <x:c r="F58" s="48" t="str">
        <x:v>korea-foreign-school</x:v>
      </x:c>
      <x:c r="G58" s="48" t="str">
        <x:v>PROVISIONAL</x:v>
      </x:c>
      <x:c r="H58" s="48" t="str">
        <x:v>INTERNATIONAL_SCHOOL</x:v>
      </x:c>
      <x:c r="I58" s="48" t="str">
        <x:v>FOREIGN_SCHOOL</x:v>
      </x:c>
      <x:c r="J58" s="48" t="str">
        <x:v>서울특별시</x:v>
      </x:c>
      <x:c r="K58" s="48" t="str">
        <x:v>서초구</x:v>
      </x:c>
      <x:c r="L58" s="48" t="str">
        <x:v>서울특별시 서초구 남부순환로364길 7-16 (양재동)</x:v>
      </x:c>
      <x:c r="M58" s="48" t="str">
        <x:v>초등학교,중학교,고등학교</x:v>
      </x:c>
      <x:c r="N58" s="95" t="b">
        <x:v>0</x:v>
      </x:c>
      <x:c r="O58" s="95" t="b">
        <x:v>1</x:v>
      </x:c>
      <x:c r="P58" s="95" t="b">
        <x:v>1</x:v>
      </x:c>
      <x:c r="Q58" s="95" t="b">
        <x:v>1</x:v>
      </x:c>
      <x:c r="R58" s="48" t="str">
        <x:v>영어|English</x:v>
      </x:c>
      <x:c r="S58" s="48" t="str">
        <x:v>영어|English</x:v>
      </x:c>
      <x:c r="T58" s="48" t="str">
        <x:v>http://koreaforeign.org/</x:v>
      </x:c>
      <x:c r="U58" s="48" t="str">
        <x:v>http://koreaforeign.org</x:v>
      </x:c>
      <x:c r="V58" s="48" t="str">
        <x:v>koreaforeign.org</x:v>
      </x:c>
      <x:c r="W58" s="48" t="str">
        <x:v>ISI</x:v>
      </x:c>
      <x:c r="X58" s="48" t="str">
        <x:v>ST01:6</x:v>
      </x:c>
      <x:c r="Y58" s="48" t="str">
        <x:v>RESOLVED</x:v>
      </x:c>
      <x:c r="Z58" s="48" t="str">
        <x:v>https://www.isi.go.kr/schl/info/SinfoView.do?schoolId=6&amp;schoolType=ST01</x:v>
      </x:c>
      <x:c r="AA58" s="48" t="str">
        <x:v>코리아외국인학교 | 서울특별시 서초구 남부순환로364길 7-16 (양재동)</x:v>
      </x:c>
      <x:c r="AB58" s="48" t="str">
        <x:v>ACTIVE</x:v>
      </x:c>
      <x:c r="AC58" s="48" t="str">
        <x:v>VERIFIED_OFFICIAL_REGISTRY</x:v>
      </x:c>
      <x:c r="AD58" s="101" t="str">
        <x:v>2026-08-27</x:v>
      </x:c>
      <x:c r="AE58" s="101" t="str">
        <x:v>NOT_CHECKED</x:v>
      </x:c>
      <x:c r="AF58" s="101" t="str"/>
      <x:c r="AG58" s="101" t="str">
        <x:v>NOT_STARTED</x:v>
      </x:c>
      <x:c r="AH58" s="101" t="str">
        <x:v>SEEDED</x:v>
      </x:c>
      <x:c r="AI58" s="101" t="str">
        <x:v>INTERNAL_ONLY</x:v>
      </x:c>
      <x:c r="AJ58" s="101" t="str">
        <x:v>P0</x:v>
      </x:c>
      <x:c r="AK58" s="101" t="str">
        <x:v>WEEKLY</x:v>
      </x:c>
      <x:c r="AL58" s="50" t="str"/>
    </x:row>
    <x:row r="59">
      <x:c r="A59" s="83" t="str">
        <x:v>isi:ST01:13</x:v>
      </x:c>
      <x:c r="B59" s="48" t="str">
        <x:v>한국영등포화교소학교</x:v>
      </x:c>
      <x:c r="C59" s="48" t="str">
        <x:v>Yeong deng pou korea Chinese primary school</x:v>
      </x:c>
      <x:c r="D59" s="48" t="str"/>
      <x:c r="E59" s="48" t="str"/>
      <x:c r="F59" s="48" t="str">
        <x:v>yeongdeungpo-korea-chinese-primary-school</x:v>
      </x:c>
      <x:c r="G59" s="48" t="str">
        <x:v>PROVISIONAL</x:v>
      </x:c>
      <x:c r="H59" s="48" t="str">
        <x:v>INTERNATIONAL_SCHOOL</x:v>
      </x:c>
      <x:c r="I59" s="48" t="str">
        <x:v>FOREIGN_SCHOOL</x:v>
      </x:c>
      <x:c r="J59" s="48" t="str">
        <x:v>서울특별시</x:v>
      </x:c>
      <x:c r="K59" s="48" t="str">
        <x:v>영등포구</x:v>
      </x:c>
      <x:c r="L59" s="48" t="str">
        <x:v>서울특별시 영등포구 경인로88길 9</x:v>
      </x:c>
      <x:c r="M59" s="48" t="str">
        <x:v>초등학교</x:v>
      </x:c>
      <x:c r="N59" s="95" t="b">
        <x:v>0</x:v>
      </x:c>
      <x:c r="O59" s="95" t="b">
        <x:v>1</x:v>
      </x:c>
      <x:c r="P59" s="95" t="b">
        <x:v>0</x:v>
      </x:c>
      <x:c r="Q59" s="95" t="b">
        <x:v>0</x:v>
      </x:c>
      <x:c r="R59" s="48" t="str">
        <x:v>중국어|Chinese</x:v>
      </x:c>
      <x:c r="S59" s="48" t="str">
        <x:v>중국어|Chinese</x:v>
      </x:c>
      <x:c r="T59" s="48" t="str">
        <x:v>http://yongxiao.kr/</x:v>
      </x:c>
      <x:c r="U59" s="48" t="str">
        <x:v>http://yongxiao.kr</x:v>
      </x:c>
      <x:c r="V59" s="48" t="str">
        <x:v>yongxiao.kr</x:v>
      </x:c>
      <x:c r="W59" s="48" t="str">
        <x:v>ISI</x:v>
      </x:c>
      <x:c r="X59" s="48" t="str">
        <x:v>ST01:13</x:v>
      </x:c>
      <x:c r="Y59" s="48" t="str">
        <x:v>RESOLVED</x:v>
      </x:c>
      <x:c r="Z59" s="48" t="str">
        <x:v>https://www.isi.go.kr/schl/info/SinfoView.do?schoolId=13&amp;schoolType=ST01</x:v>
      </x:c>
      <x:c r="AA59" s="48" t="str">
        <x:v>한국영등포화교소학교 | 서울특별시 영등포구 경인로88길 9</x:v>
      </x:c>
      <x:c r="AB59" s="48" t="str">
        <x:v>ACTIVE</x:v>
      </x:c>
      <x:c r="AC59" s="48" t="str">
        <x:v>VERIFIED_OFFICIAL_REGISTRY</x:v>
      </x:c>
      <x:c r="AD59" s="101" t="str">
        <x:v>2026-08-27</x:v>
      </x:c>
      <x:c r="AE59" s="101" t="str">
        <x:v>NOT_CHECKED</x:v>
      </x:c>
      <x:c r="AF59" s="101" t="str"/>
      <x:c r="AG59" s="101" t="str">
        <x:v>NOT_STARTED</x:v>
      </x:c>
      <x:c r="AH59" s="101" t="str">
        <x:v>SEEDED</x:v>
      </x:c>
      <x:c r="AI59" s="101" t="str">
        <x:v>INTERNAL_ONLY</x:v>
      </x:c>
      <x:c r="AJ59" s="101" t="str">
        <x:v>P0</x:v>
      </x:c>
      <x:c r="AK59" s="101" t="str">
        <x:v>WEEKLY</x:v>
      </x:c>
      <x:c r="AL59" s="50" t="str"/>
    </x:row>
    <x:row r="60">
      <x:c r="A60" s="83" t="str">
        <x:v>isi:ST01:19</x:v>
      </x:c>
      <x:c r="B60" s="48" t="str">
        <x:v>서울독일학교</x:v>
      </x:c>
      <x:c r="C60" s="48" t="str">
        <x:v>Deutsche Schule Seoul International</x:v>
      </x:c>
      <x:c r="D60" s="48" t="str"/>
      <x:c r="E60" s="48" t="str"/>
      <x:c r="F60" s="48" t="str">
        <x:v>deutsche-schule-seoul-international</x:v>
      </x:c>
      <x:c r="G60" s="48" t="str">
        <x:v>PROVISIONAL</x:v>
      </x:c>
      <x:c r="H60" s="48" t="str">
        <x:v>INTERNATIONAL_SCHOOL</x:v>
      </x:c>
      <x:c r="I60" s="48" t="str">
        <x:v>FOREIGN_SCHOOL</x:v>
      </x:c>
      <x:c r="J60" s="48" t="str">
        <x:v>서울특별시</x:v>
      </x:c>
      <x:c r="K60" s="48" t="str">
        <x:v>용산구</x:v>
      </x:c>
      <x:c r="L60" s="48" t="str">
        <x:v>서울특별시 용산구 독서당로 123-6</x:v>
      </x:c>
      <x:c r="M60" s="48" t="str">
        <x:v>유치원,초등학교,중학교,고등학교</x:v>
      </x:c>
      <x:c r="N60" s="95" t="b">
        <x:v>1</x:v>
      </x:c>
      <x:c r="O60" s="95" t="b">
        <x:v>1</x:v>
      </x:c>
      <x:c r="P60" s="95" t="b">
        <x:v>1</x:v>
      </x:c>
      <x:c r="Q60" s="95" t="b">
        <x:v>1</x:v>
      </x:c>
      <x:c r="R60" s="48" t="str">
        <x:v>독일어|German</x:v>
      </x:c>
      <x:c r="S60" s="48" t="str">
        <x:v>독일어|German</x:v>
      </x:c>
      <x:c r="T60" s="48" t="str">
        <x:v>http://www.dsseoul.org</x:v>
      </x:c>
      <x:c r="U60" s="48" t="str">
        <x:v>http://www.dsseoul.org</x:v>
      </x:c>
      <x:c r="V60" s="48" t="str">
        <x:v>dsseoul.org</x:v>
      </x:c>
      <x:c r="W60" s="48" t="str">
        <x:v>ISI</x:v>
      </x:c>
      <x:c r="X60" s="48" t="str">
        <x:v>ST01:19</x:v>
      </x:c>
      <x:c r="Y60" s="48" t="str">
        <x:v>RESOLVED</x:v>
      </x:c>
      <x:c r="Z60" s="48" t="str">
        <x:v>https://www.isi.go.kr/schl/info/SinfoView.do?schoolId=19&amp;schoolType=ST01</x:v>
      </x:c>
      <x:c r="AA60" s="48" t="str">
        <x:v>서울독일학교 | 서울특별시 용산구 독서당로 123-6</x:v>
      </x:c>
      <x:c r="AB60" s="48" t="str">
        <x:v>ACTIVE</x:v>
      </x:c>
      <x:c r="AC60" s="48" t="str">
        <x:v>VERIFIED_OFFICIAL_REGISTRY</x:v>
      </x:c>
      <x:c r="AD60" s="101" t="str">
        <x:v>2026-08-27</x:v>
      </x:c>
      <x:c r="AE60" s="101" t="str">
        <x:v>NOT_CHECKED</x:v>
      </x:c>
      <x:c r="AF60" s="101" t="str"/>
      <x:c r="AG60" s="101" t="str">
        <x:v>NOT_STARTED</x:v>
      </x:c>
      <x:c r="AH60" s="101" t="str">
        <x:v>SEEDED</x:v>
      </x:c>
      <x:c r="AI60" s="101" t="str">
        <x:v>INTERNAL_ONLY</x:v>
      </x:c>
      <x:c r="AJ60" s="101" t="str">
        <x:v>P0</x:v>
      </x:c>
      <x:c r="AK60" s="101" t="str">
        <x:v>WEEKLY</x:v>
      </x:c>
      <x:c r="AL60" s="50" t="str"/>
    </x:row>
    <x:row r="61">
      <x:c r="A61" s="83" t="str">
        <x:v>isi:ST01:10</x:v>
      </x:c>
      <x:c r="B61" s="48" t="str">
        <x:v>서울용산국제학교</x:v>
      </x:c>
      <x:c r="C61" s="48" t="str">
        <x:v>Yongsan International School of Seoul</x:v>
      </x:c>
      <x:c r="D61" s="48" t="str"/>
      <x:c r="E61" s="48" t="str"/>
      <x:c r="F61" s="48" t="str">
        <x:v>yongsan-international-school-of-seoul</x:v>
      </x:c>
      <x:c r="G61" s="48" t="str">
        <x:v>PROVISIONAL</x:v>
      </x:c>
      <x:c r="H61" s="48" t="str">
        <x:v>INTERNATIONAL_SCHOOL</x:v>
      </x:c>
      <x:c r="I61" s="48" t="str">
        <x:v>FOREIGN_SCHOOL</x:v>
      </x:c>
      <x:c r="J61" s="48" t="str">
        <x:v>서울특별시</x:v>
      </x:c>
      <x:c r="K61" s="48" t="str">
        <x:v>용산구</x:v>
      </x:c>
      <x:c r="L61" s="48" t="str">
        <x:v>서울특별시 용산구 이태원로 285</x:v>
      </x:c>
      <x:c r="M61" s="48" t="str">
        <x:v>유치원,초등학교,중학교,고등학교</x:v>
      </x:c>
      <x:c r="N61" s="95" t="b">
        <x:v>1</x:v>
      </x:c>
      <x:c r="O61" s="95" t="b">
        <x:v>1</x:v>
      </x:c>
      <x:c r="P61" s="95" t="b">
        <x:v>1</x:v>
      </x:c>
      <x:c r="Q61" s="95" t="b">
        <x:v>1</x:v>
      </x:c>
      <x:c r="R61" s="48" t="str">
        <x:v>영어|English</x:v>
      </x:c>
      <x:c r="S61" s="48" t="str">
        <x:v>영어|English</x:v>
      </x:c>
      <x:c r="T61" s="48" t="str">
        <x:v>http://www.yisseoul.org</x:v>
      </x:c>
      <x:c r="U61" s="48" t="str">
        <x:v>http://www.yisseoul.org</x:v>
      </x:c>
      <x:c r="V61" s="48" t="str">
        <x:v>yisseoul.org</x:v>
      </x:c>
      <x:c r="W61" s="48" t="str">
        <x:v>ISI</x:v>
      </x:c>
      <x:c r="X61" s="48" t="str">
        <x:v>ST01:10</x:v>
      </x:c>
      <x:c r="Y61" s="48" t="str">
        <x:v>RESOLVED</x:v>
      </x:c>
      <x:c r="Z61" s="48" t="str">
        <x:v>https://www.isi.go.kr/schl/info/SinfoView.do?schoolId=10&amp;schoolType=ST01</x:v>
      </x:c>
      <x:c r="AA61" s="48" t="str">
        <x:v>서울용산국제학교 | 서울특별시 용산구 이태원로 285</x:v>
      </x:c>
      <x:c r="AB61" s="48" t="str">
        <x:v>ACTIVE</x:v>
      </x:c>
      <x:c r="AC61" s="48" t="str">
        <x:v>VERIFIED_OFFICIAL_REGISTRY</x:v>
      </x:c>
      <x:c r="AD61" s="101" t="str">
        <x:v>2026-08-27</x:v>
      </x:c>
      <x:c r="AE61" s="101" t="str">
        <x:v>NOT_CHECKED</x:v>
      </x:c>
      <x:c r="AF61" s="101" t="str"/>
      <x:c r="AG61" s="101" t="str">
        <x:v>NOT_STARTED</x:v>
      </x:c>
      <x:c r="AH61" s="101" t="str">
        <x:v>SEEDED</x:v>
      </x:c>
      <x:c r="AI61" s="101" t="str">
        <x:v>INTERNAL_ONLY</x:v>
      </x:c>
      <x:c r="AJ61" s="101" t="str">
        <x:v>P0</x:v>
      </x:c>
      <x:c r="AK61" s="101" t="str">
        <x:v>WEEKLY</x:v>
      </x:c>
      <x:c r="AL61" s="50" t="str"/>
    </x:row>
    <x:row r="62">
      <x:c r="A62" s="83" t="str">
        <x:v>isi:ST01:8</x:v>
      </x:c>
      <x:c r="B62" s="48" t="str">
        <x:v>지구촌기독외국인학교</x:v>
      </x:c>
      <x:c r="C62" s="48" t="str">
        <x:v>Global Christian Foreign School</x:v>
      </x:c>
      <x:c r="D62" s="48" t="str"/>
      <x:c r="E62" s="48" t="str"/>
      <x:c r="F62" s="48" t="str">
        <x:v>global-christian-foreign-school</x:v>
      </x:c>
      <x:c r="G62" s="48" t="str">
        <x:v>PROVISIONAL</x:v>
      </x:c>
      <x:c r="H62" s="48" t="str">
        <x:v>INTERNATIONAL_SCHOOL</x:v>
      </x:c>
      <x:c r="I62" s="48" t="str">
        <x:v>FOREIGN_SCHOOL</x:v>
      </x:c>
      <x:c r="J62" s="48" t="str">
        <x:v>서울특별시</x:v>
      </x:c>
      <x:c r="K62" s="48" t="str">
        <x:v>용산구</x:v>
      </x:c>
      <x:c r="L62" s="48" t="str">
        <x:v>서울특별시 용산구 독서당로 115</x:v>
      </x:c>
      <x:c r="M62" s="48" t="str">
        <x:v>유치원,초등학교,중학교,고등학교</x:v>
      </x:c>
      <x:c r="N62" s="95" t="b">
        <x:v>1</x:v>
      </x:c>
      <x:c r="O62" s="95" t="b">
        <x:v>1</x:v>
      </x:c>
      <x:c r="P62" s="95" t="b">
        <x:v>1</x:v>
      </x:c>
      <x:c r="Q62" s="95" t="b">
        <x:v>1</x:v>
      </x:c>
      <x:c r="R62" s="48" t="str">
        <x:v>영어|English</x:v>
      </x:c>
      <x:c r="S62" s="48" t="str">
        <x:v>영어|English</x:v>
      </x:c>
      <x:c r="T62" s="48" t="str">
        <x:v>http://www.gcfskorea.org</x:v>
      </x:c>
      <x:c r="U62" s="48" t="str">
        <x:v>http://www.gcfskorea.org</x:v>
      </x:c>
      <x:c r="V62" s="48" t="str">
        <x:v>gcfskorea.org</x:v>
      </x:c>
      <x:c r="W62" s="48" t="str">
        <x:v>ISI</x:v>
      </x:c>
      <x:c r="X62" s="48" t="str">
        <x:v>ST01:8</x:v>
      </x:c>
      <x:c r="Y62" s="48" t="str">
        <x:v>RESOLVED</x:v>
      </x:c>
      <x:c r="Z62" s="48" t="str">
        <x:v>https://www.isi.go.kr/schl/info/SinfoView.do?schoolId=8&amp;schoolType=ST01</x:v>
      </x:c>
      <x:c r="AA62" s="48" t="str">
        <x:v>지구촌기독외국인학교 | 서울특별시 용산구 독서당로 115</x:v>
      </x:c>
      <x:c r="AB62" s="48" t="str">
        <x:v>ACTIVE</x:v>
      </x:c>
      <x:c r="AC62" s="48" t="str">
        <x:v>VERIFIED_OFFICIAL_REGISTRY</x:v>
      </x:c>
      <x:c r="AD62" s="101" t="str">
        <x:v>2026-08-27</x:v>
      </x:c>
      <x:c r="AE62" s="101" t="str">
        <x:v>NOT_CHECKED</x:v>
      </x:c>
      <x:c r="AF62" s="101" t="str"/>
      <x:c r="AG62" s="101" t="str">
        <x:v>NOT_STARTED</x:v>
      </x:c>
      <x:c r="AH62" s="101" t="str">
        <x:v>SEEDED</x:v>
      </x:c>
      <x:c r="AI62" s="101" t="str">
        <x:v>INTERNAL_ONLY</x:v>
      </x:c>
      <x:c r="AJ62" s="101" t="str">
        <x:v>P0</x:v>
      </x:c>
      <x:c r="AK62" s="101" t="str">
        <x:v>WEEKLY</x:v>
      </x:c>
      <x:c r="AL62" s="50" t="str"/>
    </x:row>
    <x:row r="63">
      <x:c r="A63" s="83" t="str">
        <x:v>isi:ST01:17</x:v>
      </x:c>
      <x:c r="B63" s="48" t="str">
        <x:v>하비에르 국제학교</x:v>
      </x:c>
      <x:c r="C63" s="48" t="str">
        <x:v>Lycee International Xavier</x:v>
      </x:c>
      <x:c r="D63" s="48" t="str"/>
      <x:c r="E63" s="48" t="str"/>
      <x:c r="F63" s="48" t="str">
        <x:v>lycee-international-xavier</x:v>
      </x:c>
      <x:c r="G63" s="48" t="str">
        <x:v>PROVISIONAL</x:v>
      </x:c>
      <x:c r="H63" s="48" t="str">
        <x:v>INTERNATIONAL_SCHOOL</x:v>
      </x:c>
      <x:c r="I63" s="48" t="str">
        <x:v>FOREIGN_SCHOOL</x:v>
      </x:c>
      <x:c r="J63" s="48" t="str">
        <x:v>서울특별시</x:v>
      </x:c>
      <x:c r="K63" s="48" t="str">
        <x:v>종로구</x:v>
      </x:c>
      <x:c r="L63" s="48" t="str">
        <x:v>서울특별시 종로구 비봉길 23</x:v>
      </x:c>
      <x:c r="M63" s="48" t="str">
        <x:v>초등학교,중학교,고등학교</x:v>
      </x:c>
      <x:c r="N63" s="95" t="b">
        <x:v>0</x:v>
      </x:c>
      <x:c r="O63" s="95" t="b">
        <x:v>1</x:v>
      </x:c>
      <x:c r="P63" s="95" t="b">
        <x:v>1</x:v>
      </x:c>
      <x:c r="Q63" s="95" t="b">
        <x:v>1</x:v>
      </x:c>
      <x:c r="R63" s="48" t="str">
        <x:v>프랑스어|Franch</x:v>
      </x:c>
      <x:c r="S63" s="48" t="str">
        <x:v>프랑스어|French</x:v>
      </x:c>
      <x:c r="T63" s="48" t="str">
        <x:v>http://www.xavier.sc.kr</x:v>
      </x:c>
      <x:c r="U63" s="48" t="str">
        <x:v>http://www.xavier.sc.kr</x:v>
      </x:c>
      <x:c r="V63" s="48" t="str">
        <x:v>xavier.sc.kr</x:v>
      </x:c>
      <x:c r="W63" s="48" t="str">
        <x:v>ISI</x:v>
      </x:c>
      <x:c r="X63" s="48" t="str">
        <x:v>ST01:17</x:v>
      </x:c>
      <x:c r="Y63" s="48" t="str">
        <x:v>RESOLVED</x:v>
      </x:c>
      <x:c r="Z63" s="48" t="str">
        <x:v>https://www.isi.go.kr/schl/info/SinfoView.do?schoolId=17&amp;schoolType=ST01</x:v>
      </x:c>
      <x:c r="AA63" s="48" t="str">
        <x:v>하비에르 국제학교 | 서울특별시 종로구 비봉길 23</x:v>
      </x:c>
      <x:c r="AB63" s="48" t="str">
        <x:v>ACTIVE</x:v>
      </x:c>
      <x:c r="AC63" s="48" t="str">
        <x:v>VERIFIED_OFFICIAL_REGISTRY</x:v>
      </x:c>
      <x:c r="AD63" s="101" t="str">
        <x:v>2026-08-27</x:v>
      </x:c>
      <x:c r="AE63" s="101" t="str">
        <x:v>NOT_CHECKED</x:v>
      </x:c>
      <x:c r="AF63" s="101" t="str"/>
      <x:c r="AG63" s="101" t="str">
        <x:v>NOT_STARTED</x:v>
      </x:c>
      <x:c r="AH63" s="101" t="str">
        <x:v>SEEDED</x:v>
      </x:c>
      <x:c r="AI63" s="101" t="str">
        <x:v>INTERNAL_ONLY</x:v>
      </x:c>
      <x:c r="AJ63" s="101" t="str">
        <x:v>P0</x:v>
      </x:c>
      <x:c r="AK63" s="101" t="str">
        <x:v>WEEKLY</x:v>
      </x:c>
      <x:c r="AL63" s="50" t="str">
        <x:v>Official ISI raw language text preserved; normalized value corrects only the obvious portal token 'Franch'.</x:v>
      </x:c>
    </x:row>
    <x:row r="64">
      <x:c r="A64" s="85" t="str">
        <x:v>isi:ST01:15</x:v>
      </x:c>
      <x:c r="B64" s="52" t="str">
        <x:v>한국한성화교소학교</x:v>
      </x:c>
      <x:c r="C64" s="52" t="str">
        <x:v>SEOUL CHINESE PRIMARY SCHOOL</x:v>
      </x:c>
      <x:c r="D64" s="52" t="str"/>
      <x:c r="E64" s="52" t="str"/>
      <x:c r="F64" s="52" t="str">
        <x:v>seoul-chinese-primary-school</x:v>
      </x:c>
      <x:c r="G64" s="52" t="str">
        <x:v>PROVISIONAL</x:v>
      </x:c>
      <x:c r="H64" s="52" t="str">
        <x:v>INTERNATIONAL_SCHOOL</x:v>
      </x:c>
      <x:c r="I64" s="52" t="str">
        <x:v>FOREIGN_SCHOOL</x:v>
      </x:c>
      <x:c r="J64" s="52" t="str">
        <x:v>서울특별시</x:v>
      </x:c>
      <x:c r="K64" s="52" t="str">
        <x:v>중구</x:v>
      </x:c>
      <x:c r="L64" s="52" t="str">
        <x:v>서울특별시 중구 명동2길 35</x:v>
      </x:c>
      <x:c r="M64" s="52" t="str">
        <x:v>유치원,초등학교</x:v>
      </x:c>
      <x:c r="N64" s="96" t="b">
        <x:v>1</x:v>
      </x:c>
      <x:c r="O64" s="96" t="b">
        <x:v>1</x:v>
      </x:c>
      <x:c r="P64" s="96" t="b">
        <x:v>0</x:v>
      </x:c>
      <x:c r="Q64" s="96" t="b">
        <x:v>0</x:v>
      </x:c>
      <x:c r="R64" s="52" t="str">
        <x:v>중국어|Chinese</x:v>
      </x:c>
      <x:c r="S64" s="52" t="str">
        <x:v>중국어|Chinese</x:v>
      </x:c>
      <x:c r="T64" s="52" t="str">
        <x:v>http://www.hanxiao.or.kr</x:v>
      </x:c>
      <x:c r="U64" s="52" t="str">
        <x:v>http://www.hanxiao.or.kr</x:v>
      </x:c>
      <x:c r="V64" s="52" t="str">
        <x:v>hanxiao.or.kr</x:v>
      </x:c>
      <x:c r="W64" s="52" t="str">
        <x:v>ISI</x:v>
      </x:c>
      <x:c r="X64" s="52" t="str">
        <x:v>ST01:15</x:v>
      </x:c>
      <x:c r="Y64" s="52" t="str">
        <x:v>RESOLVED</x:v>
      </x:c>
      <x:c r="Z64" s="52" t="str">
        <x:v>https://www.isi.go.kr/schl/info/SinfoView.do?schoolId=15&amp;schoolType=ST01</x:v>
      </x:c>
      <x:c r="AA64" s="52" t="str">
        <x:v>한국한성화교소학교 | 서울특별시 중구 명동2길 35</x:v>
      </x:c>
      <x:c r="AB64" s="52" t="str">
        <x:v>ACTIVE</x:v>
      </x:c>
      <x:c r="AC64" s="52" t="str">
        <x:v>VERIFIED_OFFICIAL_REGISTRY</x:v>
      </x:c>
      <x:c r="AD64" s="102" t="str">
        <x:v>2026-08-27</x:v>
      </x:c>
      <x:c r="AE64" s="102" t="str">
        <x:v>NOT_CHECKED</x:v>
      </x:c>
      <x:c r="AF64" s="102" t="str"/>
      <x:c r="AG64" s="102" t="str">
        <x:v>NOT_STARTED</x:v>
      </x:c>
      <x:c r="AH64" s="102" t="str">
        <x:v>SEEDED</x:v>
      </x:c>
      <x:c r="AI64" s="102" t="str">
        <x:v>INTERNAL_ONLY</x:v>
      </x:c>
      <x:c r="AJ64" s="102" t="str">
        <x:v>P0</x:v>
      </x:c>
      <x:c r="AK64" s="102" t="str">
        <x:v>WEEKLY</x:v>
      </x:c>
      <x:c r="AL64" s="53" t="str"/>
    </x:row>
  </x:sheetData>
  <x:conditionalFormatting sqref="Y2:Y64">
    <x:cfRule type="expression" dxfId="0" priority="1">
      <x:formula>Y2="PENDING"</x:formula>
    </x:cfRule>
  </x:conditionalFormatting>
  <x:conditionalFormatting sqref="AC2:AC64">
    <x:cfRule type="expression" dxfId="1" priority="2">
      <x:formula>ISNUMBER(SEARCH("PENDING",AC2))</x:formula>
    </x:cfRule>
  </x:conditionalFormatting>
  <x:conditionalFormatting sqref="AE2:AE64">
    <x:cfRule type="expression" dxfId="2" priority="3">
      <x:formula>AE2="NOT_CHECKED"</x:formula>
    </x:cfRule>
  </x:conditionalFormatting>
  <x:conditionalFormatting sqref="AI2:AI64">
    <x:cfRule type="expression" dxfId="3" priority="4">
      <x:formula>AI2="INTERNAL_ONLY"</x:formula>
    </x:cfRule>
  </x:conditionalFormatting>
  <x:conditionalFormatting sqref="AJ2:AJ64">
    <x:cfRule type="expression" dxfId="4" priority="5">
      <x:formula>AJ2="P0"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14885634204b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0" hidden="0" customWidth="1"/>
    <x:col min="3" max="3" width="24" hidden="0" customWidth="1"/>
    <x:col min="4" max="4" width="28" hidden="0" customWidth="1"/>
    <x:col min="5" max="5" width="58" hidden="0" customWidth="1"/>
    <x:col min="6" max="6" width="30" hidden="0" customWidth="1"/>
    <x:col min="7" max="7" width="34" hidden="0" customWidth="1"/>
    <x:col min="8" max="8" width="18" hidden="0" customWidth="1"/>
    <x:col min="9" max="9" width="22" hidden="0" customWidth="1"/>
    <x:col min="10" max="10" width="28" hidden="0" customWidth="1"/>
    <x:col min="11" max="11" width="16" hidden="0" customWidth="1"/>
    <x:col min="12" max="12" width="62" hidden="0" customWidth="1"/>
  </x:cols>
  <x:sheetData>
    <x:row r="1">
      <x:c r="A1" s="14" t="str">
        <x:v>source_id</x:v>
      </x:c>
      <x:c r="B1" s="14" t="str">
        <x:v>seed_id</x:v>
      </x:c>
      <x:c r="C1" s="14" t="str">
        <x:v>source_type</x:v>
      </x:c>
      <x:c r="D1" s="14" t="str">
        <x:v>source_role</x:v>
      </x:c>
      <x:c r="E1" s="14" t="str">
        <x:v>source_url</x:v>
      </x:c>
      <x:c r="F1" s="14" t="str">
        <x:v>canonical_domain</x:v>
      </x:c>
      <x:c r="G1" s="14" t="str">
        <x:v>official_status</x:v>
      </x:c>
      <x:c r="H1" s="14" t="str">
        <x:v>binding_status</x:v>
      </x:c>
      <x:c r="I1" s="14" t="str">
        <x:v>monitoring_cadence</x:v>
      </x:c>
      <x:c r="J1" s="14" t="str">
        <x:v>fetch_status</x:v>
      </x:c>
      <x:c r="K1" s="14" t="str">
        <x:v>last_verified_at</x:v>
      </x:c>
      <x:c r="L1" s="14" t="str">
        <x:v>notes</x:v>
      </x:c>
    </x:row>
    <x:row r="2">
      <x:c r="A2" s="80" t="str">
        <x:v>schoolinfo:a1cf72d2-76ab-4aac-a16c-0e9c9fd912b5:registry</x:v>
      </x:c>
      <x:c r="B2" s="81" t="str">
        <x:v>schoolinfo:a1cf72d2-76ab-4aac-a16c-0e9c9fd912b5</x:v>
      </x:c>
      <x:c r="C2" s="81" t="str">
        <x:v>OFFICIAL_REGISTRY</x:v>
      </x:c>
      <x:c r="D2" s="81" t="str">
        <x:v>REGISTRY_IDENTITY</x:v>
      </x:c>
      <x:c r="E2" s="81" t="str">
        <x:v>https://www.schoolinfo.go.kr/ei/ss/Pneiss_b01_s0.do?SHL_IDF_CD=a1cf72d2-76ab-4aac-a16c-0e9c9fd912b5</x:v>
      </x:c>
      <x:c r="F2" s="81" t="str">
        <x:v>schoolinfo.go.kr</x:v>
      </x:c>
      <x:c r="G2" s="81" t="str">
        <x:v>OFFICIAL</x:v>
      </x:c>
      <x:c r="H2" s="81" t="str">
        <x:v>SEEDED</x:v>
      </x:c>
      <x:c r="I2" s="81" t="str">
        <x:v>MONTHLY</x:v>
      </x:c>
      <x:c r="J2" s="81" t="str">
        <x:v>NOT_CHECKED_BY_IMPORTER</x:v>
      </x:c>
      <x:c r="K2" s="81" t="str">
        <x:v>2026-08-27</x:v>
      </x:c>
      <x:c r="L2" s="55" t="str"/>
    </x:row>
    <x:row r="3">
      <x:c r="A3" s="83" t="str">
        <x:v>schoolinfo:a1cf72d2-76ab-4aac-a16c-0e9c9fd912b5:website-root</x:v>
      </x:c>
      <x:c r="B3" s="48" t="str">
        <x:v>schoolinfo:a1cf72d2-76ab-4aac-a16c-0e9c9fd912b5</x:v>
      </x:c>
      <x:c r="C3" s="48" t="str">
        <x:v>OFFICIAL_WEBSITE</x:v>
      </x:c>
      <x:c r="D3" s="48" t="str">
        <x:v>OFFICIAL_WEBSITE_ROOT</x:v>
      </x:c>
      <x:c r="E3" s="48" t="str">
        <x:v>https://simseok-e.goegn.kr/simseok-e/main.do</x:v>
      </x:c>
      <x:c r="F3" s="48" t="str">
        <x:v>simseok-e.goegn.kr</x:v>
      </x:c>
      <x:c r="G3" s="48" t="str">
        <x:v>OFFICIAL_CANDIDATE_FROM_REGISTRY</x:v>
      </x:c>
      <x:c r="H3" s="48" t="str">
        <x:v>SEEDED</x:v>
      </x:c>
      <x:c r="I3" s="48" t="str">
        <x:v>SEASONAL_WEEKLY</x:v>
      </x:c>
      <x:c r="J3" s="48" t="str">
        <x:v>NOT_CHECKED</x:v>
      </x:c>
      <x:c r="K3" s="48" t="str">
        <x:v>2026-08-27</x:v>
      </x:c>
      <x:c r="L3" s="50" t="str">
        <x:v>Registry listing does not prove current reachability; collector must verify redirects, status, content type, and scope.</x:v>
      </x:c>
    </x:row>
    <x:row r="4">
      <x:c r="A4" s="83" t="str">
        <x:v>schoolinfo:e00428f1-d7a0-42ca-8729-354954c39bf7:registry</x:v>
      </x:c>
      <x:c r="B4" s="48" t="str">
        <x:v>schoolinfo:e00428f1-d7a0-42ca-8729-354954c39bf7</x:v>
      </x:c>
      <x:c r="C4" s="48" t="str">
        <x:v>OFFICIAL_REGISTRY</x:v>
      </x:c>
      <x:c r="D4" s="48" t="str">
        <x:v>REGISTRY_IDENTITY</x:v>
      </x:c>
      <x:c r="E4" s="48" t="str">
        <x:v>https://www.schoolinfo.go.kr/ei/ss/Pneiss_b01_s0.do?SHL_IDF_CD=e00428f1-d7a0-42ca-8729-354954c39bf7</x:v>
      </x:c>
      <x:c r="F4" s="48" t="str">
        <x:v>schoolinfo.go.kr</x:v>
      </x:c>
      <x:c r="G4" s="48" t="str">
        <x:v>OFFICIAL</x:v>
      </x:c>
      <x:c r="H4" s="48" t="str">
        <x:v>SEEDED</x:v>
      </x:c>
      <x:c r="I4" s="48" t="str">
        <x:v>MONTHLY</x:v>
      </x:c>
      <x:c r="J4" s="48" t="str">
        <x:v>NOT_CHECKED_BY_IMPORTER</x:v>
      </x:c>
      <x:c r="K4" s="48" t="str">
        <x:v>2026-08-27</x:v>
      </x:c>
      <x:c r="L4" s="50" t="str"/>
    </x:row>
    <x:row r="5">
      <x:c r="A5" s="83" t="str">
        <x:v>schoolinfo:e00428f1-d7a0-42ca-8729-354954c39bf7:website-root</x:v>
      </x:c>
      <x:c r="B5" s="48" t="str">
        <x:v>schoolinfo:e00428f1-d7a0-42ca-8729-354954c39bf7</x:v>
      </x:c>
      <x:c r="C5" s="48" t="str">
        <x:v>OFFICIAL_WEBSITE</x:v>
      </x:c>
      <x:c r="D5" s="48" t="str">
        <x:v>OFFICIAL_WEBSITE_ROOT</x:v>
      </x:c>
      <x:c r="E5" s="48" t="str">
        <x:v>http://sohwa-e.goesw.kr</x:v>
      </x:c>
      <x:c r="F5" s="48" t="str">
        <x:v>sohwa-e.goesw.kr</x:v>
      </x:c>
      <x:c r="G5" s="48" t="str">
        <x:v>OFFICIAL_CANDIDATE_FROM_REGISTRY</x:v>
      </x:c>
      <x:c r="H5" s="48" t="str">
        <x:v>SEEDED</x:v>
      </x:c>
      <x:c r="I5" s="48" t="str">
        <x:v>SEASONAL_WEEKLY</x:v>
      </x:c>
      <x:c r="J5" s="48" t="str">
        <x:v>NOT_CHECKED</x:v>
      </x:c>
      <x:c r="K5" s="48" t="str">
        <x:v>2026-08-27</x:v>
      </x:c>
      <x:c r="L5" s="50" t="str">
        <x:v>Registry listing does not prove current reachability; collector must verify redirects, status, content type, and scope.</x:v>
      </x:c>
    </x:row>
    <x:row r="6">
      <x:c r="A6" s="83" t="str">
        <x:v>schoolinfo:324e6d3c-8101-4a06-bbca-457b7de5aab2:registry</x:v>
      </x:c>
      <x:c r="B6" s="48" t="str">
        <x:v>schoolinfo:324e6d3c-8101-4a06-bbca-457b7de5aab2</x:v>
      </x:c>
      <x:c r="C6" s="48" t="str">
        <x:v>OFFICIAL_REGISTRY</x:v>
      </x:c>
      <x:c r="D6" s="48" t="str">
        <x:v>REGISTRY_IDENTITY</x:v>
      </x:c>
      <x:c r="E6" s="48" t="str">
        <x:v>https://www.schoolinfo.go.kr/ei/ss/Pneiss_b01_s0.do?SHL_IDF_CD=324e6d3c-8101-4a06-bbca-457b7de5aab2</x:v>
      </x:c>
      <x:c r="F6" s="48" t="str">
        <x:v>schoolinfo.go.kr</x:v>
      </x:c>
      <x:c r="G6" s="48" t="str">
        <x:v>OFFICIAL</x:v>
      </x:c>
      <x:c r="H6" s="48" t="str">
        <x:v>SEEDED</x:v>
      </x:c>
      <x:c r="I6" s="48" t="str">
        <x:v>MONTHLY</x:v>
      </x:c>
      <x:c r="J6" s="48" t="str">
        <x:v>NOT_CHECKED_BY_IMPORTER</x:v>
      </x:c>
      <x:c r="K6" s="48" t="str">
        <x:v>2026-08-27</x:v>
      </x:c>
      <x:c r="L6" s="50" t="str"/>
    </x:row>
    <x:row r="7">
      <x:c r="A7" s="83" t="str">
        <x:v>schoolinfo:324e6d3c-8101-4a06-bbca-457b7de5aab2:website-root</x:v>
      </x:c>
      <x:c r="B7" s="48" t="str">
        <x:v>schoolinfo:324e6d3c-8101-4a06-bbca-457b7de5aab2</x:v>
      </x:c>
      <x:c r="C7" s="48" t="str">
        <x:v>OFFICIAL_WEBSITE</x:v>
      </x:c>
      <x:c r="D7" s="48" t="str">
        <x:v>OFFICIAL_WEBSITE_ROOT</x:v>
      </x:c>
      <x:c r="E7" s="48" t="str">
        <x:v>http://www.suwoncca.org</x:v>
      </x:c>
      <x:c r="F7" s="48" t="str">
        <x:v>suwoncca.org</x:v>
      </x:c>
      <x:c r="G7" s="48" t="str">
        <x:v>OFFICIAL_CANDIDATE_FROM_REGISTRY</x:v>
      </x:c>
      <x:c r="H7" s="48" t="str">
        <x:v>SEEDED</x:v>
      </x:c>
      <x:c r="I7" s="48" t="str">
        <x:v>SEASONAL_WEEKLY</x:v>
      </x:c>
      <x:c r="J7" s="48" t="str">
        <x:v>NOT_CHECKED</x:v>
      </x:c>
      <x:c r="K7" s="48" t="str">
        <x:v>2026-08-27</x:v>
      </x:c>
      <x:c r="L7" s="50" t="str">
        <x:v>Registry listing does not prove current reachability; collector must verify redirects, status, content type, and scope.</x:v>
      </x:c>
    </x:row>
    <x:row r="8">
      <x:c r="A8" s="83" t="str">
        <x:v>schoolinfo:552149de-4c96-4160-a462-52fd4e970818:registry</x:v>
      </x:c>
      <x:c r="B8" s="48" t="str">
        <x:v>schoolinfo:552149de-4c96-4160-a462-52fd4e970818</x:v>
      </x:c>
      <x:c r="C8" s="48" t="str">
        <x:v>OFFICIAL_REGISTRY</x:v>
      </x:c>
      <x:c r="D8" s="48" t="str">
        <x:v>REGISTRY_IDENTITY</x:v>
      </x:c>
      <x:c r="E8" s="48" t="str">
        <x:v>https://www.schoolinfo.go.kr/ei/ss/Pneiss_b01_s0.do?SHL_IDF_CD=552149de-4c96-4160-a462-52fd4e970818</x:v>
      </x:c>
      <x:c r="F8" s="48" t="str">
        <x:v>schoolinfo.go.kr</x:v>
      </x:c>
      <x:c r="G8" s="48" t="str">
        <x:v>OFFICIAL</x:v>
      </x:c>
      <x:c r="H8" s="48" t="str">
        <x:v>SEEDED</x:v>
      </x:c>
      <x:c r="I8" s="48" t="str">
        <x:v>MONTHLY</x:v>
      </x:c>
      <x:c r="J8" s="48" t="str">
        <x:v>NOT_CHECKED_BY_IMPORTER</x:v>
      </x:c>
      <x:c r="K8" s="48" t="str">
        <x:v>2026-08-27</x:v>
      </x:c>
      <x:c r="L8" s="50" t="str"/>
    </x:row>
    <x:row r="9">
      <x:c r="A9" s="83" t="str">
        <x:v>schoolinfo:552149de-4c96-4160-a462-52fd4e970818:website-root</x:v>
      </x:c>
      <x:c r="B9" s="48" t="str">
        <x:v>schoolinfo:552149de-4c96-4160-a462-52fd4e970818</x:v>
      </x:c>
      <x:c r="C9" s="48" t="str">
        <x:v>OFFICIAL_WEBSITE</x:v>
      </x:c>
      <x:c r="D9" s="48" t="str">
        <x:v>OFFICIAL_WEBSITE_ROOT</x:v>
      </x:c>
      <x:c r="E9" s="48" t="str">
        <x:v>http://www.younghoon.es.kr</x:v>
      </x:c>
      <x:c r="F9" s="48" t="str">
        <x:v>younghoon.es.kr</x:v>
      </x:c>
      <x:c r="G9" s="48" t="str">
        <x:v>OFFICIAL_CANDIDATE_FROM_REGISTRY</x:v>
      </x:c>
      <x:c r="H9" s="48" t="str">
        <x:v>SEEDED</x:v>
      </x:c>
      <x:c r="I9" s="48" t="str">
        <x:v>SEASONAL_WEEKLY</x:v>
      </x:c>
      <x:c r="J9" s="48" t="str">
        <x:v>NOT_CHECKED</x:v>
      </x:c>
      <x:c r="K9" s="48" t="str">
        <x:v>2026-08-27</x:v>
      </x:c>
      <x:c r="L9" s="50" t="str">
        <x:v>Registry listing does not prove current reachability; collector must verify redirects, status, content type, and scope.</x:v>
      </x:c>
    </x:row>
    <x:row r="10">
      <x:c r="A10" s="83" t="str">
        <x:v>schoolinfo-pending:yooseok.sen.es.kr:registry</x:v>
      </x:c>
      <x:c r="B10" s="48" t="str">
        <x:v>schoolinfo-pending:yooseok.sen.es.kr</x:v>
      </x:c>
      <x:c r="C10" s="48" t="str">
        <x:v>OFFICIAL_REGISTRY</x:v>
      </x:c>
      <x:c r="D10" s="48" t="str">
        <x:v>REGISTRY_IDENTITY</x:v>
      </x:c>
      <x:c r="E10" s="48" t="str">
        <x:v>https://www.schoolinfo.go.kr/</x:v>
      </x:c>
      <x:c r="F10" s="48" t="str">
        <x:v>schoolinfo.go.kr</x:v>
      </x:c>
      <x:c r="G10" s="48" t="str">
        <x:v>OFFICIAL</x:v>
      </x:c>
      <x:c r="H10" s="48" t="str">
        <x:v>SEEDED</x:v>
      </x:c>
      <x:c r="I10" s="48" t="str">
        <x:v>MONTHLY</x:v>
      </x:c>
      <x:c r="J10" s="48" t="str">
        <x:v>NOT_CHECKED_BY_IMPORTER</x:v>
      </x:c>
      <x:c r="K10" s="48" t="str">
        <x:v>2026-08-27</x:v>
      </x:c>
      <x:c r="L10" s="50" t="str">
        <x:v>유석초등학교 | 서울특별시 강서구 화곡로69길 9</x:v>
      </x:c>
    </x:row>
    <x:row r="11">
      <x:c r="A11" s="83" t="str">
        <x:v>schoolinfo-pending:yooseok.sen.es.kr:website-root</x:v>
      </x:c>
      <x:c r="B11" s="48" t="str">
        <x:v>schoolinfo-pending:yooseok.sen.es.kr</x:v>
      </x:c>
      <x:c r="C11" s="48" t="str">
        <x:v>OFFICIAL_WEBSITE</x:v>
      </x:c>
      <x:c r="D11" s="48" t="str">
        <x:v>OFFICIAL_WEBSITE_ROOT</x:v>
      </x:c>
      <x:c r="E11" s="48" t="str">
        <x:v>http://yooseok.sen.es.kr</x:v>
      </x:c>
      <x:c r="F11" s="48" t="str">
        <x:v>yooseok.sen.es.kr</x:v>
      </x:c>
      <x:c r="G11" s="48" t="str">
        <x:v>OFFICIAL_CANDIDATE_FROM_REGISTRY</x:v>
      </x:c>
      <x:c r="H11" s="48" t="str">
        <x:v>SEEDED</x:v>
      </x:c>
      <x:c r="I11" s="48" t="str">
        <x:v>SEASONAL_WEEKLY</x:v>
      </x:c>
      <x:c r="J11" s="48" t="str">
        <x:v>NOT_CHECKED</x:v>
      </x:c>
      <x:c r="K11" s="48" t="str">
        <x:v>2026-08-27</x:v>
      </x:c>
      <x:c r="L11" s="50" t="str">
        <x:v>Registry listing does not prove current reachability; collector must verify redirects, status, content type, and scope.</x:v>
      </x:c>
    </x:row>
    <x:row r="12">
      <x:c r="A12" s="83" t="str">
        <x:v>schoolinfo:cbc4749a-ebaa-4e21-a164-ee341251c615:registry</x:v>
      </x:c>
      <x:c r="B12" s="48" t="str">
        <x:v>schoolinfo:cbc4749a-ebaa-4e21-a164-ee341251c615</x:v>
      </x:c>
      <x:c r="C12" s="48" t="str">
        <x:v>OFFICIAL_REGISTRY</x:v>
      </x:c>
      <x:c r="D12" s="48" t="str">
        <x:v>REGISTRY_IDENTITY</x:v>
      </x:c>
      <x:c r="E12" s="48" t="str">
        <x:v>https://www.schoolinfo.go.kr/ei/ss/Pneiss_b01_s0.do?SHL_IDF_CD=cbc4749a-ebaa-4e21-a164-ee341251c615</x:v>
      </x:c>
      <x:c r="F12" s="48" t="str">
        <x:v>schoolinfo.go.kr</x:v>
      </x:c>
      <x:c r="G12" s="48" t="str">
        <x:v>OFFICIAL</x:v>
      </x:c>
      <x:c r="H12" s="48" t="str">
        <x:v>SEEDED</x:v>
      </x:c>
      <x:c r="I12" s="48" t="str">
        <x:v>MONTHLY</x:v>
      </x:c>
      <x:c r="J12" s="48" t="str">
        <x:v>NOT_CHECKED_BY_IMPORTER</x:v>
      </x:c>
      <x:c r="K12" s="48" t="str">
        <x:v>2026-08-27</x:v>
      </x:c>
      <x:c r="L12" s="50" t="str"/>
    </x:row>
    <x:row r="13">
      <x:c r="A13" s="83" t="str">
        <x:v>schoolinfo:cbc4749a-ebaa-4e21-a164-ee341251c615:website-root</x:v>
      </x:c>
      <x:c r="B13" s="48" t="str">
        <x:v>schoolinfo:cbc4749a-ebaa-4e21-a164-ee341251c615</x:v>
      </x:c>
      <x:c r="C13" s="48" t="str">
        <x:v>OFFICIAL_WEBSITE</x:v>
      </x:c>
      <x:c r="D13" s="48" t="str">
        <x:v>OFFICIAL_WEBSITE_ROOT</x:v>
      </x:c>
      <x:c r="E13" s="48" t="str">
        <x:v>http://www.kbes.kr</x:v>
      </x:c>
      <x:c r="F13" s="48" t="str">
        <x:v>kbes.kr</x:v>
      </x:c>
      <x:c r="G13" s="48" t="str">
        <x:v>OFFICIAL_CANDIDATE_FROM_REGISTRY</x:v>
      </x:c>
      <x:c r="H13" s="48" t="str">
        <x:v>SEEDED</x:v>
      </x:c>
      <x:c r="I13" s="48" t="str">
        <x:v>SEASONAL_WEEKLY</x:v>
      </x:c>
      <x:c r="J13" s="48" t="str">
        <x:v>NOT_CHECKED</x:v>
      </x:c>
      <x:c r="K13" s="48" t="str">
        <x:v>2026-08-27</x:v>
      </x:c>
      <x:c r="L13" s="50" t="str">
        <x:v>Registry listing does not prove current reachability; collector must verify redirects, status, content type, and scope.</x:v>
      </x:c>
    </x:row>
    <x:row r="14">
      <x:c r="A14" s="83" t="str">
        <x:v>schoolinfo:55059a42-eda3-41ca-a94c-4584afd984a3:registry</x:v>
      </x:c>
      <x:c r="B14" s="48" t="str">
        <x:v>schoolinfo:55059a42-eda3-41ca-a94c-4584afd984a3</x:v>
      </x:c>
      <x:c r="C14" s="48" t="str">
        <x:v>OFFICIAL_REGISTRY</x:v>
      </x:c>
      <x:c r="D14" s="48" t="str">
        <x:v>REGISTRY_IDENTITY</x:v>
      </x:c>
      <x:c r="E14" s="48" t="str">
        <x:v>https://www.schoolinfo.go.kr/ei/ss/Pneiss_b01_s0.do?SHL_IDF_CD=55059a42-eda3-41ca-a94c-4584afd984a3</x:v>
      </x:c>
      <x:c r="F14" s="48" t="str">
        <x:v>schoolinfo.go.kr</x:v>
      </x:c>
      <x:c r="G14" s="48" t="str">
        <x:v>OFFICIAL</x:v>
      </x:c>
      <x:c r="H14" s="48" t="str">
        <x:v>SEEDED</x:v>
      </x:c>
      <x:c r="I14" s="48" t="str">
        <x:v>MONTHLY</x:v>
      </x:c>
      <x:c r="J14" s="48" t="str">
        <x:v>NOT_CHECKED_BY_IMPORTER</x:v>
      </x:c>
      <x:c r="K14" s="48" t="str">
        <x:v>2026-08-27</x:v>
      </x:c>
      <x:c r="L14" s="50" t="str"/>
    </x:row>
    <x:row r="15">
      <x:c r="A15" s="83" t="str">
        <x:v>schoolinfo:55059a42-eda3-41ca-a94c-4584afd984a3:website-root</x:v>
      </x:c>
      <x:c r="B15" s="48" t="str">
        <x:v>schoolinfo:55059a42-eda3-41ca-a94c-4584afd984a3</x:v>
      </x:c>
      <x:c r="C15" s="48" t="str">
        <x:v>OFFICIAL_WEBSITE</x:v>
      </x:c>
      <x:c r="D15" s="48" t="str">
        <x:v>OFFICIAL_WEBSITE_ROOT</x:v>
      </x:c>
      <x:c r="E15" s="48" t="str">
        <x:v>http://sungdong.sen.es.kr</x:v>
      </x:c>
      <x:c r="F15" s="48" t="str">
        <x:v>sungdong.sen.es.kr</x:v>
      </x:c>
      <x:c r="G15" s="48" t="str">
        <x:v>OFFICIAL_CANDIDATE_FROM_REGISTRY</x:v>
      </x:c>
      <x:c r="H15" s="48" t="str">
        <x:v>SEEDED</x:v>
      </x:c>
      <x:c r="I15" s="48" t="str">
        <x:v>SEASONAL_WEEKLY</x:v>
      </x:c>
      <x:c r="J15" s="48" t="str">
        <x:v>NOT_CHECKED</x:v>
      </x:c>
      <x:c r="K15" s="48" t="str">
        <x:v>2026-08-27</x:v>
      </x:c>
      <x:c r="L15" s="50" t="str">
        <x:v>Registry listing does not prove current reachability; collector must verify redirects, status, content type, and scope.</x:v>
      </x:c>
    </x:row>
    <x:row r="16">
      <x:c r="A16" s="83" t="str">
        <x:v>schoolinfo:c5e26642-adec-46b4-9b98-924367f25492:registry</x:v>
      </x:c>
      <x:c r="B16" s="48" t="str">
        <x:v>schoolinfo:c5e26642-adec-46b4-9b98-924367f25492</x:v>
      </x:c>
      <x:c r="C16" s="48" t="str">
        <x:v>OFFICIAL_REGISTRY</x:v>
      </x:c>
      <x:c r="D16" s="48" t="str">
        <x:v>REGISTRY_IDENTITY</x:v>
      </x:c>
      <x:c r="E16" s="48" t="str">
        <x:v>https://www.schoolinfo.go.kr/ei/ss/Pneiss_b01_s0.do?SHL_IDF_CD=c5e26642-adec-46b4-9b98-924367f25492</x:v>
      </x:c>
      <x:c r="F16" s="48" t="str">
        <x:v>schoolinfo.go.kr</x:v>
      </x:c>
      <x:c r="G16" s="48" t="str">
        <x:v>OFFICIAL</x:v>
      </x:c>
      <x:c r="H16" s="48" t="str">
        <x:v>SEEDED</x:v>
      </x:c>
      <x:c r="I16" s="48" t="str">
        <x:v>MONTHLY</x:v>
      </x:c>
      <x:c r="J16" s="48" t="str">
        <x:v>NOT_CHECKED_BY_IMPORTER</x:v>
      </x:c>
      <x:c r="K16" s="48" t="str">
        <x:v>2026-08-27</x:v>
      </x:c>
      <x:c r="L16" s="50" t="str"/>
    </x:row>
    <x:row r="17">
      <x:c r="A17" s="83" t="str">
        <x:v>schoolinfo:c5e26642-adec-46b4-9b98-924367f25492:website-root</x:v>
      </x:c>
      <x:c r="B17" s="48" t="str">
        <x:v>schoolinfo:c5e26642-adec-46b4-9b98-924367f25492</x:v>
      </x:c>
      <x:c r="C17" s="48" t="str">
        <x:v>OFFICIAL_WEBSITE</x:v>
      </x:c>
      <x:c r="D17" s="48" t="str">
        <x:v>OFFICIAL_WEBSITE_ROOT</x:v>
      </x:c>
      <x:c r="E17" s="48" t="str">
        <x:v>http://sejong.sen.es.kr</x:v>
      </x:c>
      <x:c r="F17" s="48" t="str">
        <x:v>sejong.sen.es.kr</x:v>
      </x:c>
      <x:c r="G17" s="48" t="str">
        <x:v>OFFICIAL_CANDIDATE_FROM_REGISTRY</x:v>
      </x:c>
      <x:c r="H17" s="48" t="str">
        <x:v>SEEDED</x:v>
      </x:c>
      <x:c r="I17" s="48" t="str">
        <x:v>SEASONAL_WEEKLY</x:v>
      </x:c>
      <x:c r="J17" s="48" t="str">
        <x:v>NOT_CHECKED</x:v>
      </x:c>
      <x:c r="K17" s="48" t="str">
        <x:v>2026-08-27</x:v>
      </x:c>
      <x:c r="L17" s="50" t="str">
        <x:v>Registry listing does not prove current reachability; collector must verify redirects, status, content type, and scope.</x:v>
      </x:c>
    </x:row>
    <x:row r="18">
      <x:c r="A18" s="83" t="str">
        <x:v>schoolinfo:ba1b119d-b51a-41f3-8ad8-3c1571a27b9d:registry</x:v>
      </x:c>
      <x:c r="B18" s="48" t="str">
        <x:v>schoolinfo:ba1b119d-b51a-41f3-8ad8-3c1571a27b9d</x:v>
      </x:c>
      <x:c r="C18" s="48" t="str">
        <x:v>OFFICIAL_REGISTRY</x:v>
      </x:c>
      <x:c r="D18" s="48" t="str">
        <x:v>REGISTRY_IDENTITY</x:v>
      </x:c>
      <x:c r="E18" s="48" t="str">
        <x:v>https://www.schoolinfo.go.kr/ei/ss/Pneiss_b01_s0.do?SHL_IDF_CD=ba1b119d-b51a-41f3-8ad8-3c1571a27b9d</x:v>
      </x:c>
      <x:c r="F18" s="48" t="str">
        <x:v>schoolinfo.go.kr</x:v>
      </x:c>
      <x:c r="G18" s="48" t="str">
        <x:v>OFFICIAL</x:v>
      </x:c>
      <x:c r="H18" s="48" t="str">
        <x:v>SEEDED</x:v>
      </x:c>
      <x:c r="I18" s="48" t="str">
        <x:v>MONTHLY</x:v>
      </x:c>
      <x:c r="J18" s="48" t="str">
        <x:v>NOT_CHECKED_BY_IMPORTER</x:v>
      </x:c>
      <x:c r="K18" s="48" t="str">
        <x:v>2026-08-27</x:v>
      </x:c>
      <x:c r="L18" s="50" t="str"/>
    </x:row>
    <x:row r="19">
      <x:c r="A19" s="83" t="str">
        <x:v>schoolinfo:ba1b119d-b51a-41f3-8ad8-3c1571a27b9d:website-root</x:v>
      </x:c>
      <x:c r="B19" s="48" t="str">
        <x:v>schoolinfo:ba1b119d-b51a-41f3-8ad8-3c1571a27b9d</x:v>
      </x:c>
      <x:c r="C19" s="48" t="str">
        <x:v>OFFICIAL_WEBSITE</x:v>
      </x:c>
      <x:c r="D19" s="48" t="str">
        <x:v>OFFICIAL_WEBSITE_ROOT</x:v>
      </x:c>
      <x:c r="E19" s="48" t="str">
        <x:v>http://donggwang.sen.es.kr</x:v>
      </x:c>
      <x:c r="F19" s="48" t="str">
        <x:v>donggwang.sen.es.kr</x:v>
      </x:c>
      <x:c r="G19" s="48" t="str">
        <x:v>OFFICIAL_CANDIDATE_FROM_REGISTRY</x:v>
      </x:c>
      <x:c r="H19" s="48" t="str">
        <x:v>SEEDED</x:v>
      </x:c>
      <x:c r="I19" s="48" t="str">
        <x:v>SEASONAL_WEEKLY</x:v>
      </x:c>
      <x:c r="J19" s="48" t="str">
        <x:v>NOT_CHECKED</x:v>
      </x:c>
      <x:c r="K19" s="48" t="str">
        <x:v>2026-08-27</x:v>
      </x:c>
      <x:c r="L19" s="50" t="str">
        <x:v>Registry listing does not prove current reachability; collector must verify redirects, status, content type, and scope.</x:v>
      </x:c>
    </x:row>
    <x:row r="20">
      <x:c r="A20" s="83" t="str">
        <x:v>schoolinfo-pending:smcho.sen.es.kr:registry</x:v>
      </x:c>
      <x:c r="B20" s="48" t="str">
        <x:v>schoolinfo-pending:smcho.sen.es.kr</x:v>
      </x:c>
      <x:c r="C20" s="48" t="str">
        <x:v>OFFICIAL_REGISTRY</x:v>
      </x:c>
      <x:c r="D20" s="48" t="str">
        <x:v>REGISTRY_IDENTITY</x:v>
      </x:c>
      <x:c r="E20" s="48" t="str">
        <x:v>https://www.schoolinfo.go.kr/</x:v>
      </x:c>
      <x:c r="F20" s="48" t="str">
        <x:v>schoolinfo.go.kr</x:v>
      </x:c>
      <x:c r="G20" s="48" t="str">
        <x:v>OFFICIAL</x:v>
      </x:c>
      <x:c r="H20" s="48" t="str">
        <x:v>SEEDED</x:v>
      </x:c>
      <x:c r="I20" s="48" t="str">
        <x:v>MONTHLY</x:v>
      </x:c>
      <x:c r="J20" s="48" t="str">
        <x:v>NOT_CHECKED_BY_IMPORTER</x:v>
      </x:c>
      <x:c r="K20" s="48" t="str">
        <x:v>2026-08-27</x:v>
      </x:c>
      <x:c r="L20" s="50" t="str">
        <x:v>상명초등학교 | 서울특별시 노원구 덕릉로 541</x:v>
      </x:c>
    </x:row>
    <x:row r="21">
      <x:c r="A21" s="83" t="str">
        <x:v>schoolinfo-pending:smcho.sen.es.kr:website-root</x:v>
      </x:c>
      <x:c r="B21" s="48" t="str">
        <x:v>schoolinfo-pending:smcho.sen.es.kr</x:v>
      </x:c>
      <x:c r="C21" s="48" t="str">
        <x:v>OFFICIAL_WEBSITE</x:v>
      </x:c>
      <x:c r="D21" s="48" t="str">
        <x:v>OFFICIAL_WEBSITE_ROOT</x:v>
      </x:c>
      <x:c r="E21" s="48" t="str">
        <x:v>https://smcho.sen.es.kr</x:v>
      </x:c>
      <x:c r="F21" s="48" t="str">
        <x:v>smcho.sen.es.kr</x:v>
      </x:c>
      <x:c r="G21" s="48" t="str">
        <x:v>OFFICIAL_CANDIDATE_FROM_REGISTRY</x:v>
      </x:c>
      <x:c r="H21" s="48" t="str">
        <x:v>SEEDED</x:v>
      </x:c>
      <x:c r="I21" s="48" t="str">
        <x:v>SEASONAL_WEEKLY</x:v>
      </x:c>
      <x:c r="J21" s="48" t="str">
        <x:v>NOT_CHECKED</x:v>
      </x:c>
      <x:c r="K21" s="48" t="str">
        <x:v>2026-08-27</x:v>
      </x:c>
      <x:c r="L21" s="50" t="str">
        <x:v>Registry listing does not prove current reachability; collector must verify redirects, status, content type, and scope.</x:v>
      </x:c>
    </x:row>
    <x:row r="22">
      <x:c r="A22" s="83" t="str">
        <x:v>schoolinfo-pending:cheongwon.sen.es.kr:registry</x:v>
      </x:c>
      <x:c r="B22" s="48" t="str">
        <x:v>schoolinfo-pending:cheongwon.sen.es.kr</x:v>
      </x:c>
      <x:c r="C22" s="48" t="str">
        <x:v>OFFICIAL_REGISTRY</x:v>
      </x:c>
      <x:c r="D22" s="48" t="str">
        <x:v>REGISTRY_IDENTITY</x:v>
      </x:c>
      <x:c r="E22" s="48" t="str">
        <x:v>https://www.schoolinfo.go.kr/</x:v>
      </x:c>
      <x:c r="F22" s="48" t="str">
        <x:v>schoolinfo.go.kr</x:v>
      </x:c>
      <x:c r="G22" s="48" t="str">
        <x:v>OFFICIAL</x:v>
      </x:c>
      <x:c r="H22" s="48" t="str">
        <x:v>SEEDED</x:v>
      </x:c>
      <x:c r="I22" s="48" t="str">
        <x:v>MONTHLY</x:v>
      </x:c>
      <x:c r="J22" s="48" t="str">
        <x:v>NOT_CHECKED_BY_IMPORTER</x:v>
      </x:c>
      <x:c r="K22" s="48" t="str">
        <x:v>2026-08-27</x:v>
      </x:c>
      <x:c r="L22" s="50" t="str">
        <x:v>청원초등학교 | 서울특별시 노원구 한글비석로 506</x:v>
      </x:c>
    </x:row>
    <x:row r="23">
      <x:c r="A23" s="83" t="str">
        <x:v>schoolinfo-pending:cheongwon.sen.es.kr:website-root</x:v>
      </x:c>
      <x:c r="B23" s="48" t="str">
        <x:v>schoolinfo-pending:cheongwon.sen.es.kr</x:v>
      </x:c>
      <x:c r="C23" s="48" t="str">
        <x:v>OFFICIAL_WEBSITE</x:v>
      </x:c>
      <x:c r="D23" s="48" t="str">
        <x:v>OFFICIAL_WEBSITE_ROOT</x:v>
      </x:c>
      <x:c r="E23" s="48" t="str">
        <x:v>http://cheongwon.sen.es.kr</x:v>
      </x:c>
      <x:c r="F23" s="48" t="str">
        <x:v>cheongwon.sen.es.kr</x:v>
      </x:c>
      <x:c r="G23" s="48" t="str">
        <x:v>OFFICIAL_CANDIDATE_FROM_REGISTRY</x:v>
      </x:c>
      <x:c r="H23" s="48" t="str">
        <x:v>SEEDED</x:v>
      </x:c>
      <x:c r="I23" s="48" t="str">
        <x:v>SEASONAL_WEEKLY</x:v>
      </x:c>
      <x:c r="J23" s="48" t="str">
        <x:v>NOT_CHECKED</x:v>
      </x:c>
      <x:c r="K23" s="48" t="str">
        <x:v>2026-08-27</x:v>
      </x:c>
      <x:c r="L23" s="50" t="str">
        <x:v>Registry listing does not prove current reachability; collector must verify redirects, status, content type, and scope.</x:v>
      </x:c>
    </x:row>
    <x:row r="24">
      <x:c r="A24" s="83" t="str">
        <x:v>schoolinfo:3ddc670c-04bb-44e8-9966-791af18eb7a6:registry</x:v>
      </x:c>
      <x:c r="B24" s="48" t="str">
        <x:v>schoolinfo:3ddc670c-04bb-44e8-9966-791af18eb7a6</x:v>
      </x:c>
      <x:c r="C24" s="48" t="str">
        <x:v>OFFICIAL_REGISTRY</x:v>
      </x:c>
      <x:c r="D24" s="48" t="str">
        <x:v>REGISTRY_IDENTITY</x:v>
      </x:c>
      <x:c r="E24" s="48" t="str">
        <x:v>https://www.schoolinfo.go.kr/ei/ss/Pneiss_b01_s0.do?SHL_IDF_CD=3ddc670c-04bb-44e8-9966-791af18eb7a6</x:v>
      </x:c>
      <x:c r="F24" s="48" t="str">
        <x:v>schoolinfo.go.kr</x:v>
      </x:c>
      <x:c r="G24" s="48" t="str">
        <x:v>OFFICIAL</x:v>
      </x:c>
      <x:c r="H24" s="48" t="str">
        <x:v>SEEDED</x:v>
      </x:c>
      <x:c r="I24" s="48" t="str">
        <x:v>MONTHLY</x:v>
      </x:c>
      <x:c r="J24" s="48" t="str">
        <x:v>NOT_CHECKED_BY_IMPORTER</x:v>
      </x:c>
      <x:c r="K24" s="48" t="str">
        <x:v>2026-08-27</x:v>
      </x:c>
      <x:c r="L24" s="50" t="str"/>
    </x:row>
    <x:row r="25">
      <x:c r="A25" s="83" t="str">
        <x:v>schoolinfo:3ddc670c-04bb-44e8-9966-791af18eb7a6:website-root</x:v>
      </x:c>
      <x:c r="B25" s="48" t="str">
        <x:v>schoolinfo:3ddc670c-04bb-44e8-9966-791af18eb7a6</x:v>
      </x:c>
      <x:c r="C25" s="48" t="str">
        <x:v>OFFICIAL_WEBSITE</x:v>
      </x:c>
      <x:c r="D25" s="48" t="str">
        <x:v>OFFICIAL_WEBSITE_ROOT</x:v>
      </x:c>
      <x:c r="E25" s="48" t="str">
        <x:v>http://taegang.sen.es.kr</x:v>
      </x:c>
      <x:c r="F25" s="48" t="str">
        <x:v>taegang.sen.es.kr</x:v>
      </x:c>
      <x:c r="G25" s="48" t="str">
        <x:v>OFFICIAL_CANDIDATE_FROM_REGISTRY</x:v>
      </x:c>
      <x:c r="H25" s="48" t="str">
        <x:v>SEEDED</x:v>
      </x:c>
      <x:c r="I25" s="48" t="str">
        <x:v>SEASONAL_WEEKLY</x:v>
      </x:c>
      <x:c r="J25" s="48" t="str">
        <x:v>NOT_CHECKED</x:v>
      </x:c>
      <x:c r="K25" s="48" t="str">
        <x:v>2026-08-27</x:v>
      </x:c>
      <x:c r="L25" s="50" t="str">
        <x:v>Registry listing does not prove current reachability; collector must verify redirects, status, content type, and scope.</x:v>
      </x:c>
    </x:row>
    <x:row r="26">
      <x:c r="A26" s="83" t="str">
        <x:v>schoolinfo:669c6e89-38a3-4547-92f8-afb31abb9d7f:registry</x:v>
      </x:c>
      <x:c r="B26" s="48" t="str">
        <x:v>schoolinfo:669c6e89-38a3-4547-92f8-afb31abb9d7f</x:v>
      </x:c>
      <x:c r="C26" s="48" t="str">
        <x:v>OFFICIAL_REGISTRY</x:v>
      </x:c>
      <x:c r="D26" s="48" t="str">
        <x:v>REGISTRY_IDENTITY</x:v>
      </x:c>
      <x:c r="E26" s="48" t="str">
        <x:v>https://www.schoolinfo.go.kr/ei/ss/Pneiss_b01_s0.do?SHL_IDF_CD=669c6e89-38a3-4547-92f8-afb31abb9d7f</x:v>
      </x:c>
      <x:c r="F26" s="48" t="str">
        <x:v>schoolinfo.go.kr</x:v>
      </x:c>
      <x:c r="G26" s="48" t="str">
        <x:v>OFFICIAL</x:v>
      </x:c>
      <x:c r="H26" s="48" t="str">
        <x:v>SEEDED</x:v>
      </x:c>
      <x:c r="I26" s="48" t="str">
        <x:v>MONTHLY</x:v>
      </x:c>
      <x:c r="J26" s="48" t="str">
        <x:v>NOT_CHECKED_BY_IMPORTER</x:v>
      </x:c>
      <x:c r="K26" s="48" t="str">
        <x:v>2026-08-27</x:v>
      </x:c>
      <x:c r="L26" s="50" t="str"/>
    </x:row>
    <x:row r="27">
      <x:c r="A27" s="83" t="str">
        <x:v>schoolinfo:669c6e89-38a3-4547-92f8-afb31abb9d7f:website-root</x:v>
      </x:c>
      <x:c r="B27" s="48" t="str">
        <x:v>schoolinfo:669c6e89-38a3-4547-92f8-afb31abb9d7f</x:v>
      </x:c>
      <x:c r="C27" s="48" t="str">
        <x:v>OFFICIAL_WEBSITE</x:v>
      </x:c>
      <x:c r="D27" s="48" t="str">
        <x:v>OFFICIAL_WEBSITE_ROOT</x:v>
      </x:c>
      <x:c r="E27" s="48" t="str">
        <x:v>http://hwarang-s.sen.es.kr</x:v>
      </x:c>
      <x:c r="F27" s="48" t="str">
        <x:v>hwarang-s.sen.es.kr</x:v>
      </x:c>
      <x:c r="G27" s="48" t="str">
        <x:v>OFFICIAL_CANDIDATE_FROM_REGISTRY</x:v>
      </x:c>
      <x:c r="H27" s="48" t="str">
        <x:v>SEEDED</x:v>
      </x:c>
      <x:c r="I27" s="48" t="str">
        <x:v>SEASONAL_WEEKLY</x:v>
      </x:c>
      <x:c r="J27" s="48" t="str">
        <x:v>NOT_CHECKED</x:v>
      </x:c>
      <x:c r="K27" s="48" t="str">
        <x:v>2026-08-27</x:v>
      </x:c>
      <x:c r="L27" s="50" t="str">
        <x:v>Registry listing does not prove current reachability; collector must verify redirects, status, content type, and scope.</x:v>
      </x:c>
    </x:row>
    <x:row r="28">
      <x:c r="A28" s="83" t="str">
        <x:v>schoolinfo:d8ff5bf9-fd69-4436-8c39-587460a90fcf:registry</x:v>
      </x:c>
      <x:c r="B28" s="48" t="str">
        <x:v>schoolinfo:d8ff5bf9-fd69-4436-8c39-587460a90fcf</x:v>
      </x:c>
      <x:c r="C28" s="48" t="str">
        <x:v>OFFICIAL_REGISTRY</x:v>
      </x:c>
      <x:c r="D28" s="48" t="str">
        <x:v>REGISTRY_IDENTITY</x:v>
      </x:c>
      <x:c r="E28" s="48" t="str">
        <x:v>https://www.schoolinfo.go.kr/ei/ss/Pneiss_b01_s0.do?SHL_IDF_CD=d8ff5bf9-fd69-4436-8c39-587460a90fcf</x:v>
      </x:c>
      <x:c r="F28" s="48" t="str">
        <x:v>schoolinfo.go.kr</x:v>
      </x:c>
      <x:c r="G28" s="48" t="str">
        <x:v>OFFICIAL</x:v>
      </x:c>
      <x:c r="H28" s="48" t="str">
        <x:v>SEEDED</x:v>
      </x:c>
      <x:c r="I28" s="48" t="str">
        <x:v>MONTHLY</x:v>
      </x:c>
      <x:c r="J28" s="48" t="str">
        <x:v>NOT_CHECKED_BY_IMPORTER</x:v>
      </x:c>
      <x:c r="K28" s="48" t="str">
        <x:v>2026-08-27</x:v>
      </x:c>
      <x:c r="L28" s="50" t="str"/>
    </x:row>
    <x:row r="29">
      <x:c r="A29" s="83" t="str">
        <x:v>schoolinfo:d8ff5bf9-fd69-4436-8c39-587460a90fcf:website-root</x:v>
      </x:c>
      <x:c r="B29" s="48" t="str">
        <x:v>schoolinfo:d8ff5bf9-fd69-4436-8c39-587460a90fcf</x:v>
      </x:c>
      <x:c r="C29" s="48" t="str">
        <x:v>OFFICIAL_WEBSITE</x:v>
      </x:c>
      <x:c r="D29" s="48" t="str">
        <x:v>OFFICIAL_WEBSITE_ROOT</x:v>
      </x:c>
      <x:c r="E29" s="48" t="str">
        <x:v>http://dongbuk.sen.es.kr</x:v>
      </x:c>
      <x:c r="F29" s="48" t="str">
        <x:v>dongbuk.sen.es.kr</x:v>
      </x:c>
      <x:c r="G29" s="48" t="str">
        <x:v>OFFICIAL_CANDIDATE_FROM_REGISTRY</x:v>
      </x:c>
      <x:c r="H29" s="48" t="str">
        <x:v>SEEDED</x:v>
      </x:c>
      <x:c r="I29" s="48" t="str">
        <x:v>SEASONAL_WEEKLY</x:v>
      </x:c>
      <x:c r="J29" s="48" t="str">
        <x:v>NOT_CHECKED</x:v>
      </x:c>
      <x:c r="K29" s="48" t="str">
        <x:v>2026-08-27</x:v>
      </x:c>
      <x:c r="L29" s="50" t="str">
        <x:v>Registry listing does not prove current reachability; collector must verify redirects, status, content type, and scope.</x:v>
      </x:c>
    </x:row>
    <x:row r="30">
      <x:c r="A30" s="83" t="str">
        <x:v>schoolinfo:d1221895-1e27-466c-95db-fab495887712:registry</x:v>
      </x:c>
      <x:c r="B30" s="48" t="str">
        <x:v>schoolinfo:d1221895-1e27-466c-95db-fab495887712</x:v>
      </x:c>
      <x:c r="C30" s="48" t="str">
        <x:v>OFFICIAL_REGISTRY</x:v>
      </x:c>
      <x:c r="D30" s="48" t="str">
        <x:v>REGISTRY_IDENTITY</x:v>
      </x:c>
      <x:c r="E30" s="48" t="str">
        <x:v>https://www.schoolinfo.go.kr/ei/ss/Pneiss_b01_s0.do?SHL_IDF_CD=d1221895-1e27-466c-95db-fab495887712</x:v>
      </x:c>
      <x:c r="F30" s="48" t="str">
        <x:v>schoolinfo.go.kr</x:v>
      </x:c>
      <x:c r="G30" s="48" t="str">
        <x:v>OFFICIAL</x:v>
      </x:c>
      <x:c r="H30" s="48" t="str">
        <x:v>SEEDED</x:v>
      </x:c>
      <x:c r="I30" s="48" t="str">
        <x:v>MONTHLY</x:v>
      </x:c>
      <x:c r="J30" s="48" t="str">
        <x:v>NOT_CHECKED_BY_IMPORTER</x:v>
      </x:c>
      <x:c r="K30" s="48" t="str">
        <x:v>2026-08-27</x:v>
      </x:c>
      <x:c r="L30" s="50" t="str"/>
    </x:row>
    <x:row r="31">
      <x:c r="A31" s="83" t="str">
        <x:v>schoolinfo:d1221895-1e27-466c-95db-fab495887712:website-root</x:v>
      </x:c>
      <x:c r="B31" s="48" t="str">
        <x:v>schoolinfo:d1221895-1e27-466c-95db-fab495887712</x:v>
      </x:c>
      <x:c r="C31" s="48" t="str">
        <x:v>OFFICIAL_WEBSITE</x:v>
      </x:c>
      <x:c r="D31" s="48" t="str">
        <x:v>OFFICIAL_WEBSITE_ROOT</x:v>
      </x:c>
      <x:c r="E31" s="48" t="str">
        <x:v>https://ihansin.sen.es.kr</x:v>
      </x:c>
      <x:c r="F31" s="48" t="str">
        <x:v>ihansin.sen.es.kr</x:v>
      </x:c>
      <x:c r="G31" s="48" t="str">
        <x:v>OFFICIAL_CANDIDATE_FROM_REGISTRY</x:v>
      </x:c>
      <x:c r="H31" s="48" t="str">
        <x:v>SEEDED</x:v>
      </x:c>
      <x:c r="I31" s="48" t="str">
        <x:v>SEASONAL_WEEKLY</x:v>
      </x:c>
      <x:c r="J31" s="48" t="str">
        <x:v>NOT_CHECKED</x:v>
      </x:c>
      <x:c r="K31" s="48" t="str">
        <x:v>2026-08-27</x:v>
      </x:c>
      <x:c r="L31" s="50" t="str">
        <x:v>Registry listing does not prove current reachability; collector must verify redirects, status, content type, and scope.</x:v>
      </x:c>
    </x:row>
    <x:row r="32">
      <x:c r="A32" s="83" t="str">
        <x:v>schoolinfo:30b5c818-362d-4eac-8b41-cfbe9ccd4800:registry</x:v>
      </x:c>
      <x:c r="B32" s="48" t="str">
        <x:v>schoolinfo:30b5c818-362d-4eac-8b41-cfbe9ccd4800</x:v>
      </x:c>
      <x:c r="C32" s="48" t="str">
        <x:v>OFFICIAL_REGISTRY</x:v>
      </x:c>
      <x:c r="D32" s="48" t="str">
        <x:v>REGISTRY_IDENTITY</x:v>
      </x:c>
      <x:c r="E32" s="48" t="str">
        <x:v>https://www.schoolinfo.go.kr/ei/ss/Pneiss_b01_s0.do?SHL_IDF_CD=30b5c818-362d-4eac-8b41-cfbe9ccd4800</x:v>
      </x:c>
      <x:c r="F32" s="48" t="str">
        <x:v>schoolinfo.go.kr</x:v>
      </x:c>
      <x:c r="G32" s="48" t="str">
        <x:v>OFFICIAL</x:v>
      </x:c>
      <x:c r="H32" s="48" t="str">
        <x:v>SEEDED</x:v>
      </x:c>
      <x:c r="I32" s="48" t="str">
        <x:v>MONTHLY</x:v>
      </x:c>
      <x:c r="J32" s="48" t="str">
        <x:v>NOT_CHECKED_BY_IMPORTER</x:v>
      </x:c>
      <x:c r="K32" s="48" t="str">
        <x:v>2026-08-27</x:v>
      </x:c>
      <x:c r="L32" s="50" t="str"/>
    </x:row>
    <x:row r="33">
      <x:c r="A33" s="83" t="str">
        <x:v>schoolinfo:30b5c818-362d-4eac-8b41-cfbe9ccd4800:website-root</x:v>
      </x:c>
      <x:c r="B33" s="48" t="str">
        <x:v>schoolinfo:30b5c818-362d-4eac-8b41-cfbe9ccd4800</x:v>
      </x:c>
      <x:c r="C33" s="48" t="str">
        <x:v>OFFICIAL_WEBSITE</x:v>
      </x:c>
      <x:c r="D33" s="48" t="str">
        <x:v>OFFICIAL_WEBSITE_ROOT</x:v>
      </x:c>
      <x:c r="E33" s="48" t="str">
        <x:v>http://kyunghee.sen.es.kr</x:v>
      </x:c>
      <x:c r="F33" s="48" t="str">
        <x:v>kyunghee.sen.es.kr</x:v>
      </x:c>
      <x:c r="G33" s="48" t="str">
        <x:v>OFFICIAL_CANDIDATE_FROM_REGISTRY</x:v>
      </x:c>
      <x:c r="H33" s="48" t="str">
        <x:v>SEEDED</x:v>
      </x:c>
      <x:c r="I33" s="48" t="str">
        <x:v>SEASONAL_WEEKLY</x:v>
      </x:c>
      <x:c r="J33" s="48" t="str">
        <x:v>NOT_CHECKED</x:v>
      </x:c>
      <x:c r="K33" s="48" t="str">
        <x:v>2026-08-27</x:v>
      </x:c>
      <x:c r="L33" s="50" t="str">
        <x:v>Registry listing does not prove current reachability; collector must verify redirects, status, content type, and scope.</x:v>
      </x:c>
    </x:row>
    <x:row r="34">
      <x:c r="A34" s="83" t="str">
        <x:v>schoolinfo:d535233a-f7e2-4b98-98ca-223d916c0ac4:registry</x:v>
      </x:c>
      <x:c r="B34" s="48" t="str">
        <x:v>schoolinfo:d535233a-f7e2-4b98-98ca-223d916c0ac4</x:v>
      </x:c>
      <x:c r="C34" s="48" t="str">
        <x:v>OFFICIAL_REGISTRY</x:v>
      </x:c>
      <x:c r="D34" s="48" t="str">
        <x:v>REGISTRY_IDENTITY</x:v>
      </x:c>
      <x:c r="E34" s="48" t="str">
        <x:v>https://www.schoolinfo.go.kr/ei/ss/Pneiss_b01_s0.do?SHL_IDF_CD=d535233a-f7e2-4b98-98ca-223d916c0ac4</x:v>
      </x:c>
      <x:c r="F34" s="48" t="str">
        <x:v>schoolinfo.go.kr</x:v>
      </x:c>
      <x:c r="G34" s="48" t="str">
        <x:v>OFFICIAL</x:v>
      </x:c>
      <x:c r="H34" s="48" t="str">
        <x:v>SEEDED</x:v>
      </x:c>
      <x:c r="I34" s="48" t="str">
        <x:v>MONTHLY</x:v>
      </x:c>
      <x:c r="J34" s="48" t="str">
        <x:v>NOT_CHECKED_BY_IMPORTER</x:v>
      </x:c>
      <x:c r="K34" s="48" t="str">
        <x:v>2026-08-27</x:v>
      </x:c>
      <x:c r="L34" s="50" t="str"/>
    </x:row>
    <x:row r="35">
      <x:c r="A35" s="83" t="str">
        <x:v>schoolinfo:d535233a-f7e2-4b98-98ca-223d916c0ac4:website-root</x:v>
      </x:c>
      <x:c r="B35" s="48" t="str">
        <x:v>schoolinfo:d535233a-f7e2-4b98-98ca-223d916c0ac4</x:v>
      </x:c>
      <x:c r="C35" s="48" t="str">
        <x:v>OFFICIAL_WEBSITE</x:v>
      </x:c>
      <x:c r="D35" s="48" t="str">
        <x:v>OFFICIAL_WEBSITE_ROOT</x:v>
      </x:c>
      <x:c r="E35" s="48" t="str">
        <x:v>http://seoul36.sen.es.kr</x:v>
      </x:c>
      <x:c r="F35" s="48" t="str">
        <x:v>seoul36.sen.es.kr</x:v>
      </x:c>
      <x:c r="G35" s="48" t="str">
        <x:v>OFFICIAL_CANDIDATE_FROM_REGISTRY</x:v>
      </x:c>
      <x:c r="H35" s="48" t="str">
        <x:v>SEEDED</x:v>
      </x:c>
      <x:c r="I35" s="48" t="str">
        <x:v>SEASONAL_WEEKLY</x:v>
      </x:c>
      <x:c r="J35" s="48" t="str">
        <x:v>NOT_CHECKED</x:v>
      </x:c>
      <x:c r="K35" s="48" t="str">
        <x:v>2026-08-27</x:v>
      </x:c>
      <x:c r="L35" s="50" t="str">
        <x:v>Registry listing does not prove current reachability; collector must verify redirects, status, content type, and scope.</x:v>
      </x:c>
    </x:row>
    <x:row r="36">
      <x:c r="A36" s="83" t="str">
        <x:v>schoolinfo:81f0cde5-7867-4302-94bd-363bd90cbc44:registry</x:v>
      </x:c>
      <x:c r="B36" s="48" t="str">
        <x:v>schoolinfo:81f0cde5-7867-4302-94bd-363bd90cbc44</x:v>
      </x:c>
      <x:c r="C36" s="48" t="str">
        <x:v>OFFICIAL_REGISTRY</x:v>
      </x:c>
      <x:c r="D36" s="48" t="str">
        <x:v>REGISTRY_IDENTITY</x:v>
      </x:c>
      <x:c r="E36" s="48" t="str">
        <x:v>https://www.schoolinfo.go.kr/ei/ss/Pneiss_b01_s0.do?SHL_IDF_CD=81f0cde5-7867-4302-94bd-363bd90cbc44</x:v>
      </x:c>
      <x:c r="F36" s="48" t="str">
        <x:v>schoolinfo.go.kr</x:v>
      </x:c>
      <x:c r="G36" s="48" t="str">
        <x:v>OFFICIAL</x:v>
      </x:c>
      <x:c r="H36" s="48" t="str">
        <x:v>SEEDED</x:v>
      </x:c>
      <x:c r="I36" s="48" t="str">
        <x:v>MONTHLY</x:v>
      </x:c>
      <x:c r="J36" s="48" t="str">
        <x:v>NOT_CHECKED_BY_IMPORTER</x:v>
      </x:c>
      <x:c r="K36" s="48" t="str">
        <x:v>2026-08-27</x:v>
      </x:c>
      <x:c r="L36" s="50" t="str"/>
    </x:row>
    <x:row r="37">
      <x:c r="A37" s="83" t="str">
        <x:v>schoolinfo:81f0cde5-7867-4302-94bd-363bd90cbc44:website-root</x:v>
      </x:c>
      <x:c r="B37" s="48" t="str">
        <x:v>schoolinfo:81f0cde5-7867-4302-94bd-363bd90cbc44</x:v>
      </x:c>
      <x:c r="C37" s="48" t="str">
        <x:v>OFFICIAL_WEBSITE</x:v>
      </x:c>
      <x:c r="D37" s="48" t="str">
        <x:v>OFFICIAL_WEBSITE_ROOT</x:v>
      </x:c>
      <x:c r="E37" s="48" t="str">
        <x:v>http://eunseok.sen.es.kr/index.do</x:v>
      </x:c>
      <x:c r="F37" s="48" t="str">
        <x:v>eunseok.sen.es.kr</x:v>
      </x:c>
      <x:c r="G37" s="48" t="str">
        <x:v>OFFICIAL_CANDIDATE_FROM_REGISTRY</x:v>
      </x:c>
      <x:c r="H37" s="48" t="str">
        <x:v>SEEDED</x:v>
      </x:c>
      <x:c r="I37" s="48" t="str">
        <x:v>SEASONAL_WEEKLY</x:v>
      </x:c>
      <x:c r="J37" s="48" t="str">
        <x:v>NOT_CHECKED</x:v>
      </x:c>
      <x:c r="K37" s="48" t="str">
        <x:v>2026-08-27</x:v>
      </x:c>
      <x:c r="L37" s="50" t="str">
        <x:v>Registry listing does not prove current reachability; collector must verify redirects, status, content type, and scope.</x:v>
      </x:c>
    </x:row>
    <x:row r="38">
      <x:c r="A38" s="83" t="str">
        <x:v>schoolinfo-pending:cau.sen.es.kr:registry</x:v>
      </x:c>
      <x:c r="B38" s="48" t="str">
        <x:v>schoolinfo-pending:cau.sen.es.kr</x:v>
      </x:c>
      <x:c r="C38" s="48" t="str">
        <x:v>OFFICIAL_REGISTRY</x:v>
      </x:c>
      <x:c r="D38" s="48" t="str">
        <x:v>REGISTRY_IDENTITY</x:v>
      </x:c>
      <x:c r="E38" s="48" t="str">
        <x:v>https://www.schoolinfo.go.kr/</x:v>
      </x:c>
      <x:c r="F38" s="48" t="str">
        <x:v>schoolinfo.go.kr</x:v>
      </x:c>
      <x:c r="G38" s="48" t="str">
        <x:v>OFFICIAL</x:v>
      </x:c>
      <x:c r="H38" s="48" t="str">
        <x:v>SEEDED</x:v>
      </x:c>
      <x:c r="I38" s="48" t="str">
        <x:v>MONTHLY</x:v>
      </x:c>
      <x:c r="J38" s="48" t="str">
        <x:v>NOT_CHECKED_BY_IMPORTER</x:v>
      </x:c>
      <x:c r="K38" s="48" t="str">
        <x:v>2026-08-27</x:v>
      </x:c>
      <x:c r="L38" s="50" t="str">
        <x:v>중앙대학교사범대학부속초등학교 | 서울특별시 동작구 서달로 135</x:v>
      </x:c>
    </x:row>
    <x:row r="39">
      <x:c r="A39" s="83" t="str">
        <x:v>schoolinfo-pending:cau.sen.es.kr:website-root</x:v>
      </x:c>
      <x:c r="B39" s="48" t="str">
        <x:v>schoolinfo-pending:cau.sen.es.kr</x:v>
      </x:c>
      <x:c r="C39" s="48" t="str">
        <x:v>OFFICIAL_WEBSITE</x:v>
      </x:c>
      <x:c r="D39" s="48" t="str">
        <x:v>OFFICIAL_WEBSITE_ROOT</x:v>
      </x:c>
      <x:c r="E39" s="48" t="str">
        <x:v>https://cau.sen.es.kr</x:v>
      </x:c>
      <x:c r="F39" s="48" t="str">
        <x:v>cau.sen.es.kr</x:v>
      </x:c>
      <x:c r="G39" s="48" t="str">
        <x:v>OFFICIAL_CANDIDATE_FROM_REGISTRY</x:v>
      </x:c>
      <x:c r="H39" s="48" t="str">
        <x:v>SEEDED</x:v>
      </x:c>
      <x:c r="I39" s="48" t="str">
        <x:v>SEASONAL_WEEKLY</x:v>
      </x:c>
      <x:c r="J39" s="48" t="str">
        <x:v>NOT_CHECKED</x:v>
      </x:c>
      <x:c r="K39" s="48" t="str">
        <x:v>2026-08-27</x:v>
      </x:c>
      <x:c r="L39" s="50" t="str">
        <x:v>Registry listing does not prove current reachability; collector must verify redirects, status, content type, and scope.</x:v>
      </x:c>
    </x:row>
    <x:row r="40">
      <x:c r="A40" s="83" t="str">
        <x:v>schoolinfo:bbc39723-ee2a-4f27-bf7d-1eee81d9fc2a:registry</x:v>
      </x:c>
      <x:c r="B40" s="48" t="str">
        <x:v>schoolinfo:bbc39723-ee2a-4f27-bf7d-1eee81d9fc2a</x:v>
      </x:c>
      <x:c r="C40" s="48" t="str">
        <x:v>OFFICIAL_REGISTRY</x:v>
      </x:c>
      <x:c r="D40" s="48" t="str">
        <x:v>REGISTRY_IDENTITY</x:v>
      </x:c>
      <x:c r="E40" s="48" t="str">
        <x:v>https://www.schoolinfo.go.kr/ei/ss/Pneiss_b01_s0.do?SHL_IDF_CD=bbc39723-ee2a-4f27-bf7d-1eee81d9fc2a</x:v>
      </x:c>
      <x:c r="F40" s="48" t="str">
        <x:v>schoolinfo.go.kr</x:v>
      </x:c>
      <x:c r="G40" s="48" t="str">
        <x:v>OFFICIAL</x:v>
      </x:c>
      <x:c r="H40" s="48" t="str">
        <x:v>SEEDED</x:v>
      </x:c>
      <x:c r="I40" s="48" t="str">
        <x:v>MONTHLY</x:v>
      </x:c>
      <x:c r="J40" s="48" t="str">
        <x:v>NOT_CHECKED_BY_IMPORTER</x:v>
      </x:c>
      <x:c r="K40" s="48" t="str">
        <x:v>2026-08-27</x:v>
      </x:c>
      <x:c r="L40" s="50" t="str"/>
    </x:row>
    <x:row r="41">
      <x:c r="A41" s="83" t="str">
        <x:v>schoolinfo:bbc39723-ee2a-4f27-bf7d-1eee81d9fc2a:website-root</x:v>
      </x:c>
      <x:c r="B41" s="48" t="str">
        <x:v>schoolinfo:bbc39723-ee2a-4f27-bf7d-1eee81d9fc2a</x:v>
      </x:c>
      <x:c r="C41" s="48" t="str">
        <x:v>OFFICIAL_WEBSITE</x:v>
      </x:c>
      <x:c r="D41" s="48" t="str">
        <x:v>OFFICIAL_WEBSITE_ROOT</x:v>
      </x:c>
      <x:c r="E41" s="48" t="str">
        <x:v>http://hongik.sen.es.kr</x:v>
      </x:c>
      <x:c r="F41" s="48" t="str">
        <x:v>hongik.sen.es.kr</x:v>
      </x:c>
      <x:c r="G41" s="48" t="str">
        <x:v>OFFICIAL_CANDIDATE_FROM_REGISTRY</x:v>
      </x:c>
      <x:c r="H41" s="48" t="str">
        <x:v>SEEDED</x:v>
      </x:c>
      <x:c r="I41" s="48" t="str">
        <x:v>SEASONAL_WEEKLY</x:v>
      </x:c>
      <x:c r="J41" s="48" t="str">
        <x:v>NOT_CHECKED</x:v>
      </x:c>
      <x:c r="K41" s="48" t="str">
        <x:v>2026-08-27</x:v>
      </x:c>
      <x:c r="L41" s="50" t="str">
        <x:v>Registry listing does not prove current reachability; collector must verify redirects, status, content type, and scope.</x:v>
      </x:c>
    </x:row>
    <x:row r="42">
      <x:c r="A42" s="83" t="str">
        <x:v>schoolinfo:f822df6f-a44d-4b0d-8ba8-b828775062d2:registry</x:v>
      </x:c>
      <x:c r="B42" s="48" t="str">
        <x:v>schoolinfo:f822df6f-a44d-4b0d-8ba8-b828775062d2</x:v>
      </x:c>
      <x:c r="C42" s="48" t="str">
        <x:v>OFFICIAL_REGISTRY</x:v>
      </x:c>
      <x:c r="D42" s="48" t="str">
        <x:v>REGISTRY_IDENTITY</x:v>
      </x:c>
      <x:c r="E42" s="48" t="str">
        <x:v>https://www.schoolinfo.go.kr/ei/ss/Pneiss_b01_s0.do?SHL_IDF_CD=f822df6f-a44d-4b0d-8ba8-b828775062d2</x:v>
      </x:c>
      <x:c r="F42" s="48" t="str">
        <x:v>schoolinfo.go.kr</x:v>
      </x:c>
      <x:c r="G42" s="48" t="str">
        <x:v>OFFICIAL</x:v>
      </x:c>
      <x:c r="H42" s="48" t="str">
        <x:v>SEEDED</x:v>
      </x:c>
      <x:c r="I42" s="48" t="str">
        <x:v>MONTHLY</x:v>
      </x:c>
      <x:c r="J42" s="48" t="str">
        <x:v>NOT_CHECKED_BY_IMPORTER</x:v>
      </x:c>
      <x:c r="K42" s="48" t="str">
        <x:v>2026-08-27</x:v>
      </x:c>
      <x:c r="L42" s="50" t="str"/>
    </x:row>
    <x:row r="43">
      <x:c r="A43" s="83" t="str">
        <x:v>schoolinfo:f822df6f-a44d-4b0d-8ba8-b828775062d2:website-root</x:v>
      </x:c>
      <x:c r="B43" s="48" t="str">
        <x:v>schoolinfo:f822df6f-a44d-4b0d-8ba8-b828775062d2</x:v>
      </x:c>
      <x:c r="C43" s="48" t="str">
        <x:v>OFFICIAL_WEBSITE</x:v>
      </x:c>
      <x:c r="D43" s="48" t="str">
        <x:v>OFFICIAL_WEBSITE_ROOT</x:v>
      </x:c>
      <x:c r="E43" s="48" t="str">
        <x:v>http://kyonggi.sen.es.kr</x:v>
      </x:c>
      <x:c r="F43" s="48" t="str">
        <x:v>kyonggi.sen.es.kr</x:v>
      </x:c>
      <x:c r="G43" s="48" t="str">
        <x:v>OFFICIAL_CANDIDATE_FROM_REGISTRY</x:v>
      </x:c>
      <x:c r="H43" s="48" t="str">
        <x:v>SEEDED</x:v>
      </x:c>
      <x:c r="I43" s="48" t="str">
        <x:v>SEASONAL_WEEKLY</x:v>
      </x:c>
      <x:c r="J43" s="48" t="str">
        <x:v>NOT_CHECKED</x:v>
      </x:c>
      <x:c r="K43" s="48" t="str">
        <x:v>2026-08-27</x:v>
      </x:c>
      <x:c r="L43" s="50" t="str">
        <x:v>Registry listing does not prove current reachability; collector must verify redirects, status, content type, and scope.</x:v>
      </x:c>
    </x:row>
    <x:row r="44">
      <x:c r="A44" s="83" t="str">
        <x:v>schoolinfo:be2cca1a-1706-4546-917d-acfc5a8df2e0:registry</x:v>
      </x:c>
      <x:c r="B44" s="48" t="str">
        <x:v>schoolinfo:be2cca1a-1706-4546-917d-acfc5a8df2e0</x:v>
      </x:c>
      <x:c r="C44" s="48" t="str">
        <x:v>OFFICIAL_REGISTRY</x:v>
      </x:c>
      <x:c r="D44" s="48" t="str">
        <x:v>REGISTRY_IDENTITY</x:v>
      </x:c>
      <x:c r="E44" s="48" t="str">
        <x:v>https://www.schoolinfo.go.kr/ei/ss/Pneiss_b01_s0.do?SHL_IDF_CD=be2cca1a-1706-4546-917d-acfc5a8df2e0</x:v>
      </x:c>
      <x:c r="F44" s="48" t="str">
        <x:v>schoolinfo.go.kr</x:v>
      </x:c>
      <x:c r="G44" s="48" t="str">
        <x:v>OFFICIAL</x:v>
      </x:c>
      <x:c r="H44" s="48" t="str">
        <x:v>SEEDED</x:v>
      </x:c>
      <x:c r="I44" s="48" t="str">
        <x:v>MONTHLY</x:v>
      </x:c>
      <x:c r="J44" s="48" t="str">
        <x:v>NOT_CHECKED_BY_IMPORTER</x:v>
      </x:c>
      <x:c r="K44" s="48" t="str">
        <x:v>2026-08-27</x:v>
      </x:c>
      <x:c r="L44" s="50" t="str"/>
    </x:row>
    <x:row r="45">
      <x:c r="A45" s="83" t="str">
        <x:v>schoolinfo:be2cca1a-1706-4546-917d-acfc5a8df2e0:website-root</x:v>
      </x:c>
      <x:c r="B45" s="48" t="str">
        <x:v>schoolinfo:be2cca1a-1706-4546-917d-acfc5a8df2e0</x:v>
      </x:c>
      <x:c r="C45" s="48" t="str">
        <x:v>OFFICIAL_WEBSITE</x:v>
      </x:c>
      <x:c r="D45" s="48" t="str">
        <x:v>OFFICIAL_WEBSITE_ROOT</x:v>
      </x:c>
      <x:c r="E45" s="48" t="str">
        <x:v>http://www.myongji.net</x:v>
      </x:c>
      <x:c r="F45" s="48" t="str">
        <x:v>myongji.net</x:v>
      </x:c>
      <x:c r="G45" s="48" t="str">
        <x:v>OFFICIAL_CANDIDATE_FROM_REGISTRY</x:v>
      </x:c>
      <x:c r="H45" s="48" t="str">
        <x:v>SEEDED</x:v>
      </x:c>
      <x:c r="I45" s="48" t="str">
        <x:v>SEASONAL_WEEKLY</x:v>
      </x:c>
      <x:c r="J45" s="48" t="str">
        <x:v>NOT_CHECKED</x:v>
      </x:c>
      <x:c r="K45" s="48" t="str">
        <x:v>2026-08-27</x:v>
      </x:c>
      <x:c r="L45" s="50" t="str">
        <x:v>Registry listing does not prove current reachability; collector must verify redirects, status, content type, and scope.</x:v>
      </x:c>
    </x:row>
    <x:row r="46">
      <x:c r="A46" s="83" t="str">
        <x:v>schoolinfo:ef0648a7-a4eb-4863-a5a3-8343cbae9371:registry</x:v>
      </x:c>
      <x:c r="B46" s="48" t="str">
        <x:v>schoolinfo:ef0648a7-a4eb-4863-a5a3-8343cbae9371</x:v>
      </x:c>
      <x:c r="C46" s="48" t="str">
        <x:v>OFFICIAL_REGISTRY</x:v>
      </x:c>
      <x:c r="D46" s="48" t="str">
        <x:v>REGISTRY_IDENTITY</x:v>
      </x:c>
      <x:c r="E46" s="48" t="str">
        <x:v>https://www.schoolinfo.go.kr/ei/ss/Pneiss_b01_s0.do?SHL_IDF_CD=ef0648a7-a4eb-4863-a5a3-8343cbae9371</x:v>
      </x:c>
      <x:c r="F46" s="48" t="str">
        <x:v>schoolinfo.go.kr</x:v>
      </x:c>
      <x:c r="G46" s="48" t="str">
        <x:v>OFFICIAL</x:v>
      </x:c>
      <x:c r="H46" s="48" t="str">
        <x:v>SEEDED</x:v>
      </x:c>
      <x:c r="I46" s="48" t="str">
        <x:v>MONTHLY</x:v>
      </x:c>
      <x:c r="J46" s="48" t="str">
        <x:v>NOT_CHECKED_BY_IMPORTER</x:v>
      </x:c>
      <x:c r="K46" s="48" t="str">
        <x:v>2026-08-27</x:v>
      </x:c>
      <x:c r="L46" s="50" t="str"/>
    </x:row>
    <x:row r="47">
      <x:c r="A47" s="83" t="str">
        <x:v>schoolinfo:ef0648a7-a4eb-4863-a5a3-8343cbae9371:website-root</x:v>
      </x:c>
      <x:c r="B47" s="48" t="str">
        <x:v>schoolinfo:ef0648a7-a4eb-4863-a5a3-8343cbae9371</x:v>
      </x:c>
      <x:c r="C47" s="48" t="str">
        <x:v>OFFICIAL_WEBSITE</x:v>
      </x:c>
      <x:c r="D47" s="48" t="str">
        <x:v>OFFICIAL_WEBSITE_ROOT</x:v>
      </x:c>
      <x:c r="E47" s="48" t="str">
        <x:v>http://ewha.sen.es.kr</x:v>
      </x:c>
      <x:c r="F47" s="48" t="str">
        <x:v>ewha.sen.es.kr</x:v>
      </x:c>
      <x:c r="G47" s="48" t="str">
        <x:v>OFFICIAL_CANDIDATE_FROM_REGISTRY</x:v>
      </x:c>
      <x:c r="H47" s="48" t="str">
        <x:v>SEEDED</x:v>
      </x:c>
      <x:c r="I47" s="48" t="str">
        <x:v>SEASONAL_WEEKLY</x:v>
      </x:c>
      <x:c r="J47" s="48" t="str">
        <x:v>NOT_CHECKED</x:v>
      </x:c>
      <x:c r="K47" s="48" t="str">
        <x:v>2026-08-27</x:v>
      </x:c>
      <x:c r="L47" s="50" t="str">
        <x:v>Registry listing does not prove current reachability; collector must verify redirects, status, content type, and scope.</x:v>
      </x:c>
    </x:row>
    <x:row r="48">
      <x:c r="A48" s="83" t="str">
        <x:v>schoolinfo:940f3bac-a31e-4007-b00e-2a8941d8c9d2:registry</x:v>
      </x:c>
      <x:c r="B48" s="48" t="str">
        <x:v>schoolinfo:940f3bac-a31e-4007-b00e-2a8941d8c9d2</x:v>
      </x:c>
      <x:c r="C48" s="48" t="str">
        <x:v>OFFICIAL_REGISTRY</x:v>
      </x:c>
      <x:c r="D48" s="48" t="str">
        <x:v>REGISTRY_IDENTITY</x:v>
      </x:c>
      <x:c r="E48" s="48" t="str">
        <x:v>https://www.schoolinfo.go.kr/ei/ss/Pneiss_b01_s0.do?SHL_IDF_CD=940f3bac-a31e-4007-b00e-2a8941d8c9d2</x:v>
      </x:c>
      <x:c r="F48" s="48" t="str">
        <x:v>schoolinfo.go.kr</x:v>
      </x:c>
      <x:c r="G48" s="48" t="str">
        <x:v>OFFICIAL</x:v>
      </x:c>
      <x:c r="H48" s="48" t="str">
        <x:v>SEEDED</x:v>
      </x:c>
      <x:c r="I48" s="48" t="str">
        <x:v>MONTHLY</x:v>
      </x:c>
      <x:c r="J48" s="48" t="str">
        <x:v>NOT_CHECKED_BY_IMPORTER</x:v>
      </x:c>
      <x:c r="K48" s="48" t="str">
        <x:v>2026-08-27</x:v>
      </x:c>
      <x:c r="L48" s="50" t="str"/>
    </x:row>
    <x:row r="49">
      <x:c r="A49" s="83" t="str">
        <x:v>schoolinfo:940f3bac-a31e-4007-b00e-2a8941d8c9d2:website-root</x:v>
      </x:c>
      <x:c r="B49" s="48" t="str">
        <x:v>schoolinfo:940f3bac-a31e-4007-b00e-2a8941d8c9d2</x:v>
      </x:c>
      <x:c r="C49" s="48" t="str">
        <x:v>OFFICIAL_WEBSITE</x:v>
      </x:c>
      <x:c r="D49" s="48" t="str">
        <x:v>OFFICIAL_WEBSITE_ROOT</x:v>
      </x:c>
      <x:c r="E49" s="48" t="str">
        <x:v>http://chugye.sen.es.kr</x:v>
      </x:c>
      <x:c r="F49" s="48" t="str">
        <x:v>chugye.sen.es.kr</x:v>
      </x:c>
      <x:c r="G49" s="48" t="str">
        <x:v>OFFICIAL_CANDIDATE_FROM_REGISTRY</x:v>
      </x:c>
      <x:c r="H49" s="48" t="str">
        <x:v>SEEDED</x:v>
      </x:c>
      <x:c r="I49" s="48" t="str">
        <x:v>SEASONAL_WEEKLY</x:v>
      </x:c>
      <x:c r="J49" s="48" t="str">
        <x:v>NOT_CHECKED</x:v>
      </x:c>
      <x:c r="K49" s="48" t="str">
        <x:v>2026-08-27</x:v>
      </x:c>
      <x:c r="L49" s="50" t="str">
        <x:v>Registry listing does not prove current reachability; collector must verify redirects, status, content type, and scope.</x:v>
      </x:c>
    </x:row>
    <x:row r="50">
      <x:c r="A50" s="83" t="str">
        <x:v>schoolinfo:c2f9d7a4-71ba-46b8-8f8e-e59c7659af70:registry</x:v>
      </x:c>
      <x:c r="B50" s="48" t="str">
        <x:v>schoolinfo:c2f9d7a4-71ba-46b8-8f8e-e59c7659af70</x:v>
      </x:c>
      <x:c r="C50" s="48" t="str">
        <x:v>OFFICIAL_REGISTRY</x:v>
      </x:c>
      <x:c r="D50" s="48" t="str">
        <x:v>REGISTRY_IDENTITY</x:v>
      </x:c>
      <x:c r="E50" s="48" t="str">
        <x:v>https://www.schoolinfo.go.kr/ei/ss/Pneiss_b01_s0.do?SHL_IDF_CD=c2f9d7a4-71ba-46b8-8f8e-e59c7659af70</x:v>
      </x:c>
      <x:c r="F50" s="48" t="str">
        <x:v>schoolinfo.go.kr</x:v>
      </x:c>
      <x:c r="G50" s="48" t="str">
        <x:v>OFFICIAL</x:v>
      </x:c>
      <x:c r="H50" s="48" t="str">
        <x:v>SEEDED</x:v>
      </x:c>
      <x:c r="I50" s="48" t="str">
        <x:v>MONTHLY</x:v>
      </x:c>
      <x:c r="J50" s="48" t="str">
        <x:v>NOT_CHECKED_BY_IMPORTER</x:v>
      </x:c>
      <x:c r="K50" s="48" t="str">
        <x:v>2026-08-27</x:v>
      </x:c>
      <x:c r="L50" s="50" t="str"/>
    </x:row>
    <x:row r="51">
      <x:c r="A51" s="83" t="str">
        <x:v>schoolinfo:c2f9d7a4-71ba-46b8-8f8e-e59c7659af70:website-root</x:v>
      </x:c>
      <x:c r="B51" s="48" t="str">
        <x:v>schoolinfo:c2f9d7a4-71ba-46b8-8f8e-e59c7659af70</x:v>
      </x:c>
      <x:c r="C51" s="48" t="str">
        <x:v>OFFICIAL_WEBSITE</x:v>
      </x:c>
      <x:c r="D51" s="48" t="str">
        <x:v>OFFICIAL_WEBSITE_ROOT</x:v>
      </x:c>
      <x:c r="E51" s="48" t="str">
        <x:v>http://www.gyeseong1882.es.kr</x:v>
      </x:c>
      <x:c r="F51" s="48" t="str">
        <x:v>gyeseong1882.es.kr</x:v>
      </x:c>
      <x:c r="G51" s="48" t="str">
        <x:v>OFFICIAL_CANDIDATE_FROM_REGISTRY</x:v>
      </x:c>
      <x:c r="H51" s="48" t="str">
        <x:v>SEEDED</x:v>
      </x:c>
      <x:c r="I51" s="48" t="str">
        <x:v>SEASONAL_WEEKLY</x:v>
      </x:c>
      <x:c r="J51" s="48" t="str">
        <x:v>NOT_CHECKED</x:v>
      </x:c>
      <x:c r="K51" s="48" t="str">
        <x:v>2026-08-27</x:v>
      </x:c>
      <x:c r="L51" s="50" t="str">
        <x:v>Registry listing does not prove current reachability; collector must verify redirects, status, content type, and scope.</x:v>
      </x:c>
    </x:row>
    <x:row r="52">
      <x:c r="A52" s="83" t="str">
        <x:v>schoolinfo:8bc3c248-5e5a-4278-a149-737222501934:registry</x:v>
      </x:c>
      <x:c r="B52" s="48" t="str">
        <x:v>schoolinfo:8bc3c248-5e5a-4278-a149-737222501934</x:v>
      </x:c>
      <x:c r="C52" s="48" t="str">
        <x:v>OFFICIAL_REGISTRY</x:v>
      </x:c>
      <x:c r="D52" s="48" t="str">
        <x:v>REGISTRY_IDENTITY</x:v>
      </x:c>
      <x:c r="E52" s="48" t="str">
        <x:v>https://www.schoolinfo.go.kr/ei/ss/Pneiss_b01_s0.do?SHL_IDF_CD=8bc3c248-5e5a-4278-a149-737222501934</x:v>
      </x:c>
      <x:c r="F52" s="48" t="str">
        <x:v>schoolinfo.go.kr</x:v>
      </x:c>
      <x:c r="G52" s="48" t="str">
        <x:v>OFFICIAL</x:v>
      </x:c>
      <x:c r="H52" s="48" t="str">
        <x:v>SEEDED</x:v>
      </x:c>
      <x:c r="I52" s="48" t="str">
        <x:v>MONTHLY</x:v>
      </x:c>
      <x:c r="J52" s="48" t="str">
        <x:v>NOT_CHECKED_BY_IMPORTER</x:v>
      </x:c>
      <x:c r="K52" s="48" t="str">
        <x:v>2026-08-27</x:v>
      </x:c>
      <x:c r="L52" s="50" t="str"/>
    </x:row>
    <x:row r="53">
      <x:c r="A53" s="83" t="str">
        <x:v>schoolinfo:8bc3c248-5e5a-4278-a149-737222501934:website-root</x:v>
      </x:c>
      <x:c r="B53" s="48" t="str">
        <x:v>schoolinfo:8bc3c248-5e5a-4278-a149-737222501934</x:v>
      </x:c>
      <x:c r="C53" s="48" t="str">
        <x:v>OFFICIAL_WEBSITE</x:v>
      </x:c>
      <x:c r="D53" s="48" t="str">
        <x:v>OFFICIAL_WEBSITE_ROOT</x:v>
      </x:c>
      <x:c r="E53" s="48" t="str">
        <x:v>http://www.hye.or.kr</x:v>
      </x:c>
      <x:c r="F53" s="48" t="str">
        <x:v>hye.or.kr</x:v>
      </x:c>
      <x:c r="G53" s="48" t="str">
        <x:v>OFFICIAL_CANDIDATE_FROM_REGISTRY</x:v>
      </x:c>
      <x:c r="H53" s="48" t="str">
        <x:v>SEEDED</x:v>
      </x:c>
      <x:c r="I53" s="48" t="str">
        <x:v>SEASONAL_WEEKLY</x:v>
      </x:c>
      <x:c r="J53" s="48" t="str">
        <x:v>NOT_CHECKED</x:v>
      </x:c>
      <x:c r="K53" s="48" t="str">
        <x:v>2026-08-27</x:v>
      </x:c>
      <x:c r="L53" s="50" t="str">
        <x:v>Registry listing does not prove current reachability; collector must verify redirects, status, content type, and scope.</x:v>
      </x:c>
    </x:row>
    <x:row r="54">
      <x:c r="A54" s="83" t="str">
        <x:v>schoolinfo:65f954be-36fd-4012-87c3-4051b07a4012:registry</x:v>
      </x:c>
      <x:c r="B54" s="48" t="str">
        <x:v>schoolinfo:65f954be-36fd-4012-87c3-4051b07a4012</x:v>
      </x:c>
      <x:c r="C54" s="48" t="str">
        <x:v>OFFICIAL_REGISTRY</x:v>
      </x:c>
      <x:c r="D54" s="48" t="str">
        <x:v>REGISTRY_IDENTITY</x:v>
      </x:c>
      <x:c r="E54" s="48" t="str">
        <x:v>https://www.schoolinfo.go.kr/ei/ss/Pneiss_b01_s0.do?SHL_IDF_CD=65f954be-36fd-4012-87c3-4051b07a4012</x:v>
      </x:c>
      <x:c r="F54" s="48" t="str">
        <x:v>schoolinfo.go.kr</x:v>
      </x:c>
      <x:c r="G54" s="48" t="str">
        <x:v>OFFICIAL</x:v>
      </x:c>
      <x:c r="H54" s="48" t="str">
        <x:v>SEEDED</x:v>
      </x:c>
      <x:c r="I54" s="48" t="str">
        <x:v>MONTHLY</x:v>
      </x:c>
      <x:c r="J54" s="48" t="str">
        <x:v>NOT_CHECKED_BY_IMPORTER</x:v>
      </x:c>
      <x:c r="K54" s="48" t="str">
        <x:v>2026-08-27</x:v>
      </x:c>
      <x:c r="L54" s="50" t="str"/>
    </x:row>
    <x:row r="55">
      <x:c r="A55" s="83" t="str">
        <x:v>schoolinfo:65f954be-36fd-4012-87c3-4051b07a4012:website-root</x:v>
      </x:c>
      <x:c r="B55" s="48" t="str">
        <x:v>schoolinfo:65f954be-36fd-4012-87c3-4051b07a4012</x:v>
      </x:c>
      <x:c r="C55" s="48" t="str">
        <x:v>OFFICIAL_WEBSITE</x:v>
      </x:c>
      <x:c r="D55" s="48" t="str">
        <x:v>OFFICIAL_WEBSITE_ROOT</x:v>
      </x:c>
      <x:c r="E55" s="48" t="str">
        <x:v>http://kwangwoon.sen.es.kr</x:v>
      </x:c>
      <x:c r="F55" s="48" t="str">
        <x:v>kwangwoon.sen.es.kr</x:v>
      </x:c>
      <x:c r="G55" s="48" t="str">
        <x:v>OFFICIAL_CANDIDATE_FROM_REGISTRY</x:v>
      </x:c>
      <x:c r="H55" s="48" t="str">
        <x:v>SEEDED</x:v>
      </x:c>
      <x:c r="I55" s="48" t="str">
        <x:v>SEASONAL_WEEKLY</x:v>
      </x:c>
      <x:c r="J55" s="48" t="str">
        <x:v>NOT_CHECKED</x:v>
      </x:c>
      <x:c r="K55" s="48" t="str">
        <x:v>2026-08-27</x:v>
      </x:c>
      <x:c r="L55" s="50" t="str">
        <x:v>Registry listing does not prove current reachability; collector must verify redirects, status, content type, and scope.</x:v>
      </x:c>
    </x:row>
    <x:row r="56">
      <x:c r="A56" s="83" t="str">
        <x:v>schoolinfo:778effb5-d9b1-4fac-9c3a-67e3908ee13e:registry</x:v>
      </x:c>
      <x:c r="B56" s="48" t="str">
        <x:v>schoolinfo:778effb5-d9b1-4fac-9c3a-67e3908ee13e</x:v>
      </x:c>
      <x:c r="C56" s="48" t="str">
        <x:v>OFFICIAL_REGISTRY</x:v>
      </x:c>
      <x:c r="D56" s="48" t="str">
        <x:v>REGISTRY_IDENTITY</x:v>
      </x:c>
      <x:c r="E56" s="48" t="str">
        <x:v>https://www.schoolinfo.go.kr/ei/ss/Pneiss_b01_s0.do?SHL_IDF_CD=778effb5-d9b1-4fac-9c3a-67e3908ee13e</x:v>
      </x:c>
      <x:c r="F56" s="48" t="str">
        <x:v>schoolinfo.go.kr</x:v>
      </x:c>
      <x:c r="G56" s="48" t="str">
        <x:v>OFFICIAL</x:v>
      </x:c>
      <x:c r="H56" s="48" t="str">
        <x:v>SEEDED</x:v>
      </x:c>
      <x:c r="I56" s="48" t="str">
        <x:v>MONTHLY</x:v>
      </x:c>
      <x:c r="J56" s="48" t="str">
        <x:v>NOT_CHECKED_BY_IMPORTER</x:v>
      </x:c>
      <x:c r="K56" s="48" t="str">
        <x:v>2026-08-27</x:v>
      </x:c>
      <x:c r="L56" s="50" t="str"/>
    </x:row>
    <x:row r="57">
      <x:c r="A57" s="83" t="str">
        <x:v>schoolinfo:778effb5-d9b1-4fac-9c3a-67e3908ee13e:website-root</x:v>
      </x:c>
      <x:c r="B57" s="48" t="str">
        <x:v>schoolinfo:778effb5-d9b1-4fac-9c3a-67e3908ee13e</x:v>
      </x:c>
      <x:c r="C57" s="48" t="str">
        <x:v>OFFICIAL_WEBSITE</x:v>
      </x:c>
      <x:c r="D57" s="48" t="str">
        <x:v>OFFICIAL_WEBSITE_ROOT</x:v>
      </x:c>
      <x:c r="E57" s="48" t="str">
        <x:v>http://daegwang.sen.es.kr</x:v>
      </x:c>
      <x:c r="F57" s="48" t="str">
        <x:v>daegwang.sen.es.kr</x:v>
      </x:c>
      <x:c r="G57" s="48" t="str">
        <x:v>OFFICIAL_CANDIDATE_FROM_REGISTRY</x:v>
      </x:c>
      <x:c r="H57" s="48" t="str">
        <x:v>SEEDED</x:v>
      </x:c>
      <x:c r="I57" s="48" t="str">
        <x:v>SEASONAL_WEEKLY</x:v>
      </x:c>
      <x:c r="J57" s="48" t="str">
        <x:v>NOT_CHECKED</x:v>
      </x:c>
      <x:c r="K57" s="48" t="str">
        <x:v>2026-08-27</x:v>
      </x:c>
      <x:c r="L57" s="50" t="str">
        <x:v>Registry listing does not prove current reachability; collector must verify redirects, status, content type, and scope.</x:v>
      </x:c>
    </x:row>
    <x:row r="58">
      <x:c r="A58" s="83" t="str">
        <x:v>schoolinfo:9218020d-ddfd-4a75-be96-7bf6262b8b8f:registry</x:v>
      </x:c>
      <x:c r="B58" s="48" t="str">
        <x:v>schoolinfo:9218020d-ddfd-4a75-be96-7bf6262b8b8f</x:v>
      </x:c>
      <x:c r="C58" s="48" t="str">
        <x:v>OFFICIAL_REGISTRY</x:v>
      </x:c>
      <x:c r="D58" s="48" t="str">
        <x:v>REGISTRY_IDENTITY</x:v>
      </x:c>
      <x:c r="E58" s="48" t="str">
        <x:v>https://www.schoolinfo.go.kr/ei/ss/Pneiss_b01_s0.do?SHL_IDF_CD=9218020d-ddfd-4a75-be96-7bf6262b8b8f</x:v>
      </x:c>
      <x:c r="F58" s="48" t="str">
        <x:v>schoolinfo.go.kr</x:v>
      </x:c>
      <x:c r="G58" s="48" t="str">
        <x:v>OFFICIAL</x:v>
      </x:c>
      <x:c r="H58" s="48" t="str">
        <x:v>SEEDED</x:v>
      </x:c>
      <x:c r="I58" s="48" t="str">
        <x:v>MONTHLY</x:v>
      </x:c>
      <x:c r="J58" s="48" t="str">
        <x:v>NOT_CHECKED_BY_IMPORTER</x:v>
      </x:c>
      <x:c r="K58" s="48" t="str">
        <x:v>2026-08-27</x:v>
      </x:c>
      <x:c r="L58" s="50" t="str"/>
    </x:row>
    <x:row r="59">
      <x:c r="A59" s="83" t="str">
        <x:v>schoolinfo:9218020d-ddfd-4a75-be96-7bf6262b8b8f:website-root</x:v>
      </x:c>
      <x:c r="B59" s="48" t="str">
        <x:v>schoolinfo:9218020d-ddfd-4a75-be96-7bf6262b8b8f</x:v>
      </x:c>
      <x:c r="C59" s="48" t="str">
        <x:v>OFFICIAL_WEBSITE</x:v>
      </x:c>
      <x:c r="D59" s="48" t="str">
        <x:v>OFFICIAL_WEBSITE_ROOT</x:v>
      </x:c>
      <x:c r="E59" s="48" t="str">
        <x:v>http://maewon.sen.es.kr</x:v>
      </x:c>
      <x:c r="F59" s="48" t="str">
        <x:v>maewon.sen.es.kr</x:v>
      </x:c>
      <x:c r="G59" s="48" t="str">
        <x:v>OFFICIAL_CANDIDATE_FROM_REGISTRY</x:v>
      </x:c>
      <x:c r="H59" s="48" t="str">
        <x:v>SEEDED</x:v>
      </x:c>
      <x:c r="I59" s="48" t="str">
        <x:v>SEASONAL_WEEKLY</x:v>
      </x:c>
      <x:c r="J59" s="48" t="str">
        <x:v>NOT_CHECKED</x:v>
      </x:c>
      <x:c r="K59" s="48" t="str">
        <x:v>2026-08-27</x:v>
      </x:c>
      <x:c r="L59" s="50" t="str">
        <x:v>Registry listing does not prove current reachability; collector must verify redirects, status, content type, and scope.</x:v>
      </x:c>
    </x:row>
    <x:row r="60">
      <x:c r="A60" s="83" t="str">
        <x:v>schoolinfo:5a337163-36fb-4d16-90bd-340aead6de9d:registry</x:v>
      </x:c>
      <x:c r="B60" s="48" t="str">
        <x:v>schoolinfo:5a337163-36fb-4d16-90bd-340aead6de9d</x:v>
      </x:c>
      <x:c r="C60" s="48" t="str">
        <x:v>OFFICIAL_REGISTRY</x:v>
      </x:c>
      <x:c r="D60" s="48" t="str">
        <x:v>REGISTRY_IDENTITY</x:v>
      </x:c>
      <x:c r="E60" s="48" t="str">
        <x:v>https://www.schoolinfo.go.kr/ei/ss/Pneiss_b01_s0.do?SHL_IDF_CD=5a337163-36fb-4d16-90bd-340aead6de9d</x:v>
      </x:c>
      <x:c r="F60" s="48" t="str">
        <x:v>schoolinfo.go.kr</x:v>
      </x:c>
      <x:c r="G60" s="48" t="str">
        <x:v>OFFICIAL</x:v>
      </x:c>
      <x:c r="H60" s="48" t="str">
        <x:v>SEEDED</x:v>
      </x:c>
      <x:c r="I60" s="48" t="str">
        <x:v>MONTHLY</x:v>
      </x:c>
      <x:c r="J60" s="48" t="str">
        <x:v>NOT_CHECKED_BY_IMPORTER</x:v>
      </x:c>
      <x:c r="K60" s="48" t="str">
        <x:v>2026-08-27</x:v>
      </x:c>
      <x:c r="L60" s="50" t="str"/>
    </x:row>
    <x:row r="61">
      <x:c r="A61" s="83" t="str">
        <x:v>schoolinfo:5a337163-36fb-4d16-90bd-340aead6de9d:website-root</x:v>
      </x:c>
      <x:c r="B61" s="48" t="str">
        <x:v>schoolinfo:5a337163-36fb-4d16-90bd-340aead6de9d</x:v>
      </x:c>
      <x:c r="C61" s="48" t="str">
        <x:v>OFFICIAL_WEBSITE</x:v>
      </x:c>
      <x:c r="D61" s="48" t="str">
        <x:v>OFFICIAL_WEBSITE_ROOT</x:v>
      </x:c>
      <x:c r="E61" s="48" t="str">
        <x:v>http://sungshin.sen.es.kr</x:v>
      </x:c>
      <x:c r="F61" s="48" t="str">
        <x:v>sungshin.sen.es.kr</x:v>
      </x:c>
      <x:c r="G61" s="48" t="str">
        <x:v>OFFICIAL_CANDIDATE_FROM_REGISTRY</x:v>
      </x:c>
      <x:c r="H61" s="48" t="str">
        <x:v>SEEDED</x:v>
      </x:c>
      <x:c r="I61" s="48" t="str">
        <x:v>SEASONAL_WEEKLY</x:v>
      </x:c>
      <x:c r="J61" s="48" t="str">
        <x:v>NOT_CHECKED</x:v>
      </x:c>
      <x:c r="K61" s="48" t="str">
        <x:v>2026-08-27</x:v>
      </x:c>
      <x:c r="L61" s="50" t="str">
        <x:v>Registry listing does not prove current reachability; collector must verify redirects, status, content type, and scope.</x:v>
      </x:c>
    </x:row>
    <x:row r="62">
      <x:c r="A62" s="83" t="str">
        <x:v>schoolinfo:bb8d87b0-edfa-4bd9-9c24-b11debc3ba3c:registry</x:v>
      </x:c>
      <x:c r="B62" s="48" t="str">
        <x:v>schoolinfo:bb8d87b0-edfa-4bd9-9c24-b11debc3ba3c</x:v>
      </x:c>
      <x:c r="C62" s="48" t="str">
        <x:v>OFFICIAL_REGISTRY</x:v>
      </x:c>
      <x:c r="D62" s="48" t="str">
        <x:v>REGISTRY_IDENTITY</x:v>
      </x:c>
      <x:c r="E62" s="48" t="str">
        <x:v>https://www.schoolinfo.go.kr/ei/ss/Pneiss_b01_s0.do?SHL_IDF_CD=bb8d87b0-edfa-4bd9-9c24-b11debc3ba3c</x:v>
      </x:c>
      <x:c r="F62" s="48" t="str">
        <x:v>schoolinfo.go.kr</x:v>
      </x:c>
      <x:c r="G62" s="48" t="str">
        <x:v>OFFICIAL</x:v>
      </x:c>
      <x:c r="H62" s="48" t="str">
        <x:v>SEEDED</x:v>
      </x:c>
      <x:c r="I62" s="48" t="str">
        <x:v>MONTHLY</x:v>
      </x:c>
      <x:c r="J62" s="48" t="str">
        <x:v>NOT_CHECKED_BY_IMPORTER</x:v>
      </x:c>
      <x:c r="K62" s="48" t="str">
        <x:v>2026-08-27</x:v>
      </x:c>
      <x:c r="L62" s="50" t="str"/>
    </x:row>
    <x:row r="63">
      <x:c r="A63" s="83" t="str">
        <x:v>schoolinfo:bb8d87b0-edfa-4bd9-9c24-b11debc3ba3c:website-root</x:v>
      </x:c>
      <x:c r="B63" s="48" t="str">
        <x:v>schoolinfo:bb8d87b0-edfa-4bd9-9c24-b11debc3ba3c</x:v>
      </x:c>
      <x:c r="C63" s="48" t="str">
        <x:v>OFFICIAL_WEBSITE</x:v>
      </x:c>
      <x:c r="D63" s="48" t="str">
        <x:v>OFFICIAL_WEBSITE_ROOT</x:v>
      </x:c>
      <x:c r="E63" s="48" t="str">
        <x:v>https://uchon.sen.es.kr</x:v>
      </x:c>
      <x:c r="F63" s="48" t="str">
        <x:v>uchon.sen.es.kr</x:v>
      </x:c>
      <x:c r="G63" s="48" t="str">
        <x:v>OFFICIAL_CANDIDATE_FROM_REGISTRY</x:v>
      </x:c>
      <x:c r="H63" s="48" t="str">
        <x:v>SEEDED</x:v>
      </x:c>
      <x:c r="I63" s="48" t="str">
        <x:v>SEASONAL_WEEKLY</x:v>
      </x:c>
      <x:c r="J63" s="48" t="str">
        <x:v>NOT_CHECKED</x:v>
      </x:c>
      <x:c r="K63" s="48" t="str">
        <x:v>2026-08-27</x:v>
      </x:c>
      <x:c r="L63" s="50" t="str">
        <x:v>Registry listing does not prove current reachability; collector must verify redirects, status, content type, and scope.</x:v>
      </x:c>
    </x:row>
    <x:row r="64">
      <x:c r="A64" s="83" t="str">
        <x:v>schoolinfo-pending:skes.sen.es.kr:registry</x:v>
      </x:c>
      <x:c r="B64" s="48" t="str">
        <x:v>schoolinfo-pending:skes.sen.es.kr</x:v>
      </x:c>
      <x:c r="C64" s="48" t="str">
        <x:v>OFFICIAL_REGISTRY</x:v>
      </x:c>
      <x:c r="D64" s="48" t="str">
        <x:v>REGISTRY_IDENTITY</x:v>
      </x:c>
      <x:c r="E64" s="48" t="str">
        <x:v>https://www.schoolinfo.go.kr/</x:v>
      </x:c>
      <x:c r="F64" s="48" t="str">
        <x:v>schoolinfo.go.kr</x:v>
      </x:c>
      <x:c r="G64" s="48" t="str">
        <x:v>OFFICIAL</x:v>
      </x:c>
      <x:c r="H64" s="48" t="str">
        <x:v>SEEDED</x:v>
      </x:c>
      <x:c r="I64" s="48" t="str">
        <x:v>MONTHLY</x:v>
      </x:c>
      <x:c r="J64" s="48" t="str">
        <x:v>NOT_CHECKED_BY_IMPORTER</x:v>
      </x:c>
      <x:c r="K64" s="48" t="str">
        <x:v>2026-08-27</x:v>
      </x:c>
      <x:c r="L64" s="50" t="str">
        <x:v>신광초등학교 | 서울특별시 용산구 청파로 263</x:v>
      </x:c>
    </x:row>
    <x:row r="65">
      <x:c r="A65" s="83" t="str">
        <x:v>schoolinfo-pending:skes.sen.es.kr:website-root</x:v>
      </x:c>
      <x:c r="B65" s="48" t="str">
        <x:v>schoolinfo-pending:skes.sen.es.kr</x:v>
      </x:c>
      <x:c r="C65" s="48" t="str">
        <x:v>OFFICIAL_WEBSITE</x:v>
      </x:c>
      <x:c r="D65" s="48" t="str">
        <x:v>OFFICIAL_WEBSITE_ROOT</x:v>
      </x:c>
      <x:c r="E65" s="48" t="str">
        <x:v>https://skes.sen.es.kr</x:v>
      </x:c>
      <x:c r="F65" s="48" t="str">
        <x:v>skes.sen.es.kr</x:v>
      </x:c>
      <x:c r="G65" s="48" t="str">
        <x:v>OFFICIAL_CANDIDATE_FROM_REGISTRY</x:v>
      </x:c>
      <x:c r="H65" s="48" t="str">
        <x:v>SEEDED</x:v>
      </x:c>
      <x:c r="I65" s="48" t="str">
        <x:v>SEASONAL_WEEKLY</x:v>
      </x:c>
      <x:c r="J65" s="48" t="str">
        <x:v>NOT_CHECKED</x:v>
      </x:c>
      <x:c r="K65" s="48" t="str">
        <x:v>2026-08-27</x:v>
      </x:c>
      <x:c r="L65" s="50" t="str">
        <x:v>Registry listing does not prove current reachability; collector must verify redirects, status, content type, and scope.</x:v>
      </x:c>
    </x:row>
    <x:row r="66">
      <x:c r="A66" s="83" t="str">
        <x:v>schoolinfo:49b99ce1-fb43-4b1a-ad44-414700bd7bfe:registry</x:v>
      </x:c>
      <x:c r="B66" s="48" t="str">
        <x:v>schoolinfo:49b99ce1-fb43-4b1a-ad44-414700bd7bfe</x:v>
      </x:c>
      <x:c r="C66" s="48" t="str">
        <x:v>OFFICIAL_REGISTRY</x:v>
      </x:c>
      <x:c r="D66" s="48" t="str">
        <x:v>REGISTRY_IDENTITY</x:v>
      </x:c>
      <x:c r="E66" s="48" t="str">
        <x:v>https://www.schoolinfo.go.kr/ei/ss/Pneiss_b01_s0.do?SHL_IDF_CD=49b99ce1-fb43-4b1a-ad44-414700bd7bfe</x:v>
      </x:c>
      <x:c r="F66" s="48" t="str">
        <x:v>schoolinfo.go.kr</x:v>
      </x:c>
      <x:c r="G66" s="48" t="str">
        <x:v>OFFICIAL</x:v>
      </x:c>
      <x:c r="H66" s="48" t="str">
        <x:v>SEEDED</x:v>
      </x:c>
      <x:c r="I66" s="48" t="str">
        <x:v>MONTHLY</x:v>
      </x:c>
      <x:c r="J66" s="48" t="str">
        <x:v>NOT_CHECKED_BY_IMPORTER</x:v>
      </x:c>
      <x:c r="K66" s="48" t="str">
        <x:v>2026-08-27</x:v>
      </x:c>
      <x:c r="L66" s="50" t="str"/>
    </x:row>
    <x:row r="67">
      <x:c r="A67" s="83" t="str">
        <x:v>schoolinfo:49b99ce1-fb43-4b1a-ad44-414700bd7bfe:website-root</x:v>
      </x:c>
      <x:c r="B67" s="48" t="str">
        <x:v>schoolinfo:49b99ce1-fb43-4b1a-ad44-414700bd7bfe</x:v>
      </x:c>
      <x:c r="C67" s="48" t="str">
        <x:v>OFFICIAL_WEBSITE</x:v>
      </x:c>
      <x:c r="D67" s="48" t="str">
        <x:v>OFFICIAL_WEBSITE_ROOT</x:v>
      </x:c>
      <x:c r="E67" s="48" t="str">
        <x:v>http://sunil.sen.es.kr</x:v>
      </x:c>
      <x:c r="F67" s="48" t="str">
        <x:v>sunil.sen.es.kr</x:v>
      </x:c>
      <x:c r="G67" s="48" t="str">
        <x:v>OFFICIAL_CANDIDATE_FROM_REGISTRY</x:v>
      </x:c>
      <x:c r="H67" s="48" t="str">
        <x:v>SEEDED</x:v>
      </x:c>
      <x:c r="I67" s="48" t="str">
        <x:v>SEASONAL_WEEKLY</x:v>
      </x:c>
      <x:c r="J67" s="48" t="str">
        <x:v>NOT_CHECKED</x:v>
      </x:c>
      <x:c r="K67" s="48" t="str">
        <x:v>2026-08-27</x:v>
      </x:c>
      <x:c r="L67" s="50" t="str">
        <x:v>Registry listing does not prove current reachability; collector must verify redirects, status, content type, and scope.</x:v>
      </x:c>
    </x:row>
    <x:row r="68">
      <x:c r="A68" s="83" t="str">
        <x:v>schoolinfo:6b9e1611-3bfa-47d8-aee9-ba199ed7038d:registry</x:v>
      </x:c>
      <x:c r="B68" s="48" t="str">
        <x:v>schoolinfo:6b9e1611-3bfa-47d8-aee9-ba199ed7038d</x:v>
      </x:c>
      <x:c r="C68" s="48" t="str">
        <x:v>OFFICIAL_REGISTRY</x:v>
      </x:c>
      <x:c r="D68" s="48" t="str">
        <x:v>REGISTRY_IDENTITY</x:v>
      </x:c>
      <x:c r="E68" s="48" t="str">
        <x:v>https://www.schoolinfo.go.kr/ei/ss/Pneiss_b01_s0.do?SHL_IDF_CD=6b9e1611-3bfa-47d8-aee9-ba199ed7038d</x:v>
      </x:c>
      <x:c r="F68" s="48" t="str">
        <x:v>schoolinfo.go.kr</x:v>
      </x:c>
      <x:c r="G68" s="48" t="str">
        <x:v>OFFICIAL</x:v>
      </x:c>
      <x:c r="H68" s="48" t="str">
        <x:v>SEEDED</x:v>
      </x:c>
      <x:c r="I68" s="48" t="str">
        <x:v>MONTHLY</x:v>
      </x:c>
      <x:c r="J68" s="48" t="str">
        <x:v>NOT_CHECKED_BY_IMPORTER</x:v>
      </x:c>
      <x:c r="K68" s="48" t="str">
        <x:v>2026-08-27</x:v>
      </x:c>
      <x:c r="L68" s="50" t="str"/>
    </x:row>
    <x:row r="69">
      <x:c r="A69" s="83" t="str">
        <x:v>schoolinfo:6b9e1611-3bfa-47d8-aee9-ba199ed7038d:website-root</x:v>
      </x:c>
      <x:c r="B69" s="48" t="str">
        <x:v>schoolinfo:6b9e1611-3bfa-47d8-aee9-ba199ed7038d</x:v>
      </x:c>
      <x:c r="C69" s="48" t="str">
        <x:v>OFFICIAL_WEBSITE</x:v>
      </x:c>
      <x:c r="D69" s="48" t="str">
        <x:v>OFFICIAL_WEBSITE_ROOT</x:v>
      </x:c>
      <x:c r="E69" s="48" t="str">
        <x:v>https://yale.sen.es.kr</x:v>
      </x:c>
      <x:c r="F69" s="48" t="str">
        <x:v>yale.sen.es.kr</x:v>
      </x:c>
      <x:c r="G69" s="48" t="str">
        <x:v>OFFICIAL_CANDIDATE_FROM_REGISTRY</x:v>
      </x:c>
      <x:c r="H69" s="48" t="str">
        <x:v>SEEDED</x:v>
      </x:c>
      <x:c r="I69" s="48" t="str">
        <x:v>SEASONAL_WEEKLY</x:v>
      </x:c>
      <x:c r="J69" s="48" t="str">
        <x:v>NOT_CHECKED</x:v>
      </x:c>
      <x:c r="K69" s="48" t="str">
        <x:v>2026-08-27</x:v>
      </x:c>
      <x:c r="L69" s="50" t="str">
        <x:v>Registry listing does not prove current reachability; collector must verify redirects, status, content type, and scope.</x:v>
      </x:c>
    </x:row>
    <x:row r="70">
      <x:c r="A70" s="83" t="str">
        <x:v>schoolinfo:63e9de80-cb05-4152-9bfa-950e9376a9d5:registry</x:v>
      </x:c>
      <x:c r="B70" s="48" t="str">
        <x:v>schoolinfo:63e9de80-cb05-4152-9bfa-950e9376a9d5</x:v>
      </x:c>
      <x:c r="C70" s="48" t="str">
        <x:v>OFFICIAL_REGISTRY</x:v>
      </x:c>
      <x:c r="D70" s="48" t="str">
        <x:v>REGISTRY_IDENTITY</x:v>
      </x:c>
      <x:c r="E70" s="48" t="str">
        <x:v>https://www.schoolinfo.go.kr/ei/ss/Pneiss_b01_s0.do?SHL_IDF_CD=63e9de80-cb05-4152-9bfa-950e9376a9d5</x:v>
      </x:c>
      <x:c r="F70" s="48" t="str">
        <x:v>schoolinfo.go.kr</x:v>
      </x:c>
      <x:c r="G70" s="48" t="str">
        <x:v>OFFICIAL</x:v>
      </x:c>
      <x:c r="H70" s="48" t="str">
        <x:v>SEEDED</x:v>
      </x:c>
      <x:c r="I70" s="48" t="str">
        <x:v>MONTHLY</x:v>
      </x:c>
      <x:c r="J70" s="48" t="str">
        <x:v>NOT_CHECKED_BY_IMPORTER</x:v>
      </x:c>
      <x:c r="K70" s="48" t="str">
        <x:v>2026-08-27</x:v>
      </x:c>
      <x:c r="L70" s="50" t="str"/>
    </x:row>
    <x:row r="71">
      <x:c r="A71" s="83" t="str">
        <x:v>schoolinfo:63e9de80-cb05-4152-9bfa-950e9376a9d5:website-root</x:v>
      </x:c>
      <x:c r="B71" s="48" t="str">
        <x:v>schoolinfo:63e9de80-cb05-4152-9bfa-950e9376a9d5</x:v>
      </x:c>
      <x:c r="C71" s="48" t="str">
        <x:v>OFFICIAL_WEBSITE</x:v>
      </x:c>
      <x:c r="D71" s="48" t="str">
        <x:v>OFFICIAL_WEBSITE_ROOT</x:v>
      </x:c>
      <x:c r="E71" s="48" t="str">
        <x:v>http://choongam.sen.es.kr</x:v>
      </x:c>
      <x:c r="F71" s="48" t="str">
        <x:v>choongam.sen.es.kr</x:v>
      </x:c>
      <x:c r="G71" s="48" t="str">
        <x:v>OFFICIAL_CANDIDATE_FROM_REGISTRY</x:v>
      </x:c>
      <x:c r="H71" s="48" t="str">
        <x:v>SEEDED</x:v>
      </x:c>
      <x:c r="I71" s="48" t="str">
        <x:v>SEASONAL_WEEKLY</x:v>
      </x:c>
      <x:c r="J71" s="48" t="str">
        <x:v>NOT_CHECKED</x:v>
      </x:c>
      <x:c r="K71" s="48" t="str">
        <x:v>2026-08-27</x:v>
      </x:c>
      <x:c r="L71" s="50" t="str">
        <x:v>Registry listing does not prove current reachability; collector must verify redirects, status, content type, and scope.</x:v>
      </x:c>
    </x:row>
    <x:row r="72">
      <x:c r="A72" s="83" t="str">
        <x:v>schoolinfo:d2729baf-9f46-4ed1-96d7-f5835b7fc75f:registry</x:v>
      </x:c>
      <x:c r="B72" s="48" t="str">
        <x:v>schoolinfo:d2729baf-9f46-4ed1-96d7-f5835b7fc75f</x:v>
      </x:c>
      <x:c r="C72" s="48" t="str">
        <x:v>OFFICIAL_REGISTRY</x:v>
      </x:c>
      <x:c r="D72" s="48" t="str">
        <x:v>REGISTRY_IDENTITY</x:v>
      </x:c>
      <x:c r="E72" s="48" t="str">
        <x:v>https://www.schoolinfo.go.kr/ei/ss/Pneiss_b01_s0.do?SHL_IDF_CD=d2729baf-9f46-4ed1-96d7-f5835b7fc75f</x:v>
      </x:c>
      <x:c r="F72" s="48" t="str">
        <x:v>schoolinfo.go.kr</x:v>
      </x:c>
      <x:c r="G72" s="48" t="str">
        <x:v>OFFICIAL</x:v>
      </x:c>
      <x:c r="H72" s="48" t="str">
        <x:v>SEEDED</x:v>
      </x:c>
      <x:c r="I72" s="48" t="str">
        <x:v>MONTHLY</x:v>
      </x:c>
      <x:c r="J72" s="48" t="str">
        <x:v>NOT_CHECKED_BY_IMPORTER</x:v>
      </x:c>
      <x:c r="K72" s="48" t="str">
        <x:v>2026-08-27</x:v>
      </x:c>
      <x:c r="L72" s="50" t="str"/>
    </x:row>
    <x:row r="73">
      <x:c r="A73" s="83" t="str">
        <x:v>schoolinfo:d2729baf-9f46-4ed1-96d7-f5835b7fc75f:website-root</x:v>
      </x:c>
      <x:c r="B73" s="48" t="str">
        <x:v>schoolinfo:d2729baf-9f46-4ed1-96d7-f5835b7fc75f</x:v>
      </x:c>
      <x:c r="C73" s="48" t="str">
        <x:v>OFFICIAL_WEBSITE</x:v>
      </x:c>
      <x:c r="D73" s="48" t="str">
        <x:v>OFFICIAL_WEBSITE_ROOT</x:v>
      </x:c>
      <x:c r="E73" s="48" t="str">
        <x:v>http://sangmyung-ae.sen.es.kr</x:v>
      </x:c>
      <x:c r="F73" s="48" t="str">
        <x:v>sangmyung-ae.sen.es.kr</x:v>
      </x:c>
      <x:c r="G73" s="48" t="str">
        <x:v>OFFICIAL_CANDIDATE_FROM_REGISTRY</x:v>
      </x:c>
      <x:c r="H73" s="48" t="str">
        <x:v>SEEDED</x:v>
      </x:c>
      <x:c r="I73" s="48" t="str">
        <x:v>SEASONAL_WEEKLY</x:v>
      </x:c>
      <x:c r="J73" s="48" t="str">
        <x:v>NOT_CHECKED</x:v>
      </x:c>
      <x:c r="K73" s="48" t="str">
        <x:v>2026-08-27</x:v>
      </x:c>
      <x:c r="L73" s="50" t="str">
        <x:v>Registry listing does not prove current reachability; collector must verify redirects, status, content type, and scope.</x:v>
      </x:c>
    </x:row>
    <x:row r="74">
      <x:c r="A74" s="83" t="str">
        <x:v>schoolinfo:fa4c7b76-0e2c-469e-9020-7c3676312b02:registry</x:v>
      </x:c>
      <x:c r="B74" s="48" t="str">
        <x:v>schoolinfo:fa4c7b76-0e2c-469e-9020-7c3676312b02</x:v>
      </x:c>
      <x:c r="C74" s="48" t="str">
        <x:v>OFFICIAL_REGISTRY</x:v>
      </x:c>
      <x:c r="D74" s="48" t="str">
        <x:v>REGISTRY_IDENTITY</x:v>
      </x:c>
      <x:c r="E74" s="48" t="str">
        <x:v>https://www.schoolinfo.go.kr/ei/ss/Pneiss_b01_s0.do?SHL_IDF_CD=fa4c7b76-0e2c-469e-9020-7c3676312b02</x:v>
      </x:c>
      <x:c r="F74" s="48" t="str">
        <x:v>schoolinfo.go.kr</x:v>
      </x:c>
      <x:c r="G74" s="48" t="str">
        <x:v>OFFICIAL</x:v>
      </x:c>
      <x:c r="H74" s="48" t="str">
        <x:v>SEEDED</x:v>
      </x:c>
      <x:c r="I74" s="48" t="str">
        <x:v>MONTHLY</x:v>
      </x:c>
      <x:c r="J74" s="48" t="str">
        <x:v>NOT_CHECKED_BY_IMPORTER</x:v>
      </x:c>
      <x:c r="K74" s="48" t="str">
        <x:v>2026-08-27</x:v>
      </x:c>
      <x:c r="L74" s="50" t="str"/>
    </x:row>
    <x:row r="75">
      <x:c r="A75" s="83" t="str">
        <x:v>schoolinfo:fa4c7b76-0e2c-469e-9020-7c3676312b02:website-root</x:v>
      </x:c>
      <x:c r="B75" s="48" t="str">
        <x:v>schoolinfo:fa4c7b76-0e2c-469e-9020-7c3676312b02</x:v>
      </x:c>
      <x:c r="C75" s="48" t="str">
        <x:v>OFFICIAL_WEBSITE</x:v>
      </x:c>
      <x:c r="D75" s="48" t="str">
        <x:v>OFFICIAL_WEBSITE_ROOT</x:v>
      </x:c>
      <x:c r="E75" s="48" t="str">
        <x:v>http://unhyun.sen.es.kr</x:v>
      </x:c>
      <x:c r="F75" s="48" t="str">
        <x:v>unhyun.sen.es.kr</x:v>
      </x:c>
      <x:c r="G75" s="48" t="str">
        <x:v>OFFICIAL_CANDIDATE_FROM_REGISTRY</x:v>
      </x:c>
      <x:c r="H75" s="48" t="str">
        <x:v>SEEDED</x:v>
      </x:c>
      <x:c r="I75" s="48" t="str">
        <x:v>SEASONAL_WEEKLY</x:v>
      </x:c>
      <x:c r="J75" s="48" t="str">
        <x:v>NOT_CHECKED</x:v>
      </x:c>
      <x:c r="K75" s="48" t="str">
        <x:v>2026-08-27</x:v>
      </x:c>
      <x:c r="L75" s="50" t="str">
        <x:v>Registry listing does not prove current reachability; collector must verify redirects, status, content type, and scope.</x:v>
      </x:c>
    </x:row>
    <x:row r="76">
      <x:c r="A76" s="83" t="str">
        <x:v>schoolinfo:dd2cf25c-0c9f-455d-9f2e-d559c571ff0b:registry</x:v>
      </x:c>
      <x:c r="B76" s="48" t="str">
        <x:v>schoolinfo:dd2cf25c-0c9f-455d-9f2e-d559c571ff0b</x:v>
      </x:c>
      <x:c r="C76" s="48" t="str">
        <x:v>OFFICIAL_REGISTRY</x:v>
      </x:c>
      <x:c r="D76" s="48" t="str">
        <x:v>REGISTRY_IDENTITY</x:v>
      </x:c>
      <x:c r="E76" s="48" t="str">
        <x:v>https://www.schoolinfo.go.kr/ei/ss/Pneiss_b01_s0.do?SHL_IDF_CD=dd2cf25c-0c9f-455d-9f2e-d559c571ff0b</x:v>
      </x:c>
      <x:c r="F76" s="48" t="str">
        <x:v>schoolinfo.go.kr</x:v>
      </x:c>
      <x:c r="G76" s="48" t="str">
        <x:v>OFFICIAL</x:v>
      </x:c>
      <x:c r="H76" s="48" t="str">
        <x:v>SEEDED</x:v>
      </x:c>
      <x:c r="I76" s="48" t="str">
        <x:v>MONTHLY</x:v>
      </x:c>
      <x:c r="J76" s="48" t="str">
        <x:v>NOT_CHECKED_BY_IMPORTER</x:v>
      </x:c>
      <x:c r="K76" s="48" t="str">
        <x:v>2026-08-27</x:v>
      </x:c>
      <x:c r="L76" s="50" t="str"/>
    </x:row>
    <x:row r="77">
      <x:c r="A77" s="83" t="str">
        <x:v>schoolinfo:dd2cf25c-0c9f-455d-9f2e-d559c571ff0b:website-root</x:v>
      </x:c>
      <x:c r="B77" s="48" t="str">
        <x:v>schoolinfo:dd2cf25c-0c9f-455d-9f2e-d559c571ff0b</x:v>
      </x:c>
      <x:c r="C77" s="48" t="str">
        <x:v>OFFICIAL_WEBSITE</x:v>
      </x:c>
      <x:c r="D77" s="48" t="str">
        <x:v>OFFICIAL_WEBSITE_ROOT</x:v>
      </x:c>
      <x:c r="E77" s="48" t="str">
        <x:v>http://seoul-dongsan.sen.es.kr</x:v>
      </x:c>
      <x:c r="F77" s="48" t="str">
        <x:v>seoul-dongsan.sen.es.kr</x:v>
      </x:c>
      <x:c r="G77" s="48" t="str">
        <x:v>OFFICIAL_CANDIDATE_FROM_REGISTRY</x:v>
      </x:c>
      <x:c r="H77" s="48" t="str">
        <x:v>SEEDED</x:v>
      </x:c>
      <x:c r="I77" s="48" t="str">
        <x:v>SEASONAL_WEEKLY</x:v>
      </x:c>
      <x:c r="J77" s="48" t="str">
        <x:v>NOT_CHECKED</x:v>
      </x:c>
      <x:c r="K77" s="48" t="str">
        <x:v>2026-08-27</x:v>
      </x:c>
      <x:c r="L77" s="50" t="str">
        <x:v>Registry listing does not prove current reachability; collector must verify redirects, status, content type, and scope.</x:v>
      </x:c>
    </x:row>
    <x:row r="78">
      <x:c r="A78" s="83" t="str">
        <x:v>schoolinfo-pending:lila.es.kr:registry</x:v>
      </x:c>
      <x:c r="B78" s="48" t="str">
        <x:v>schoolinfo-pending:lila.es.kr</x:v>
      </x:c>
      <x:c r="C78" s="48" t="str">
        <x:v>OFFICIAL_REGISTRY</x:v>
      </x:c>
      <x:c r="D78" s="48" t="str">
        <x:v>REGISTRY_IDENTITY</x:v>
      </x:c>
      <x:c r="E78" s="48" t="str">
        <x:v>https://www.schoolinfo.go.kr/</x:v>
      </x:c>
      <x:c r="F78" s="48" t="str">
        <x:v>schoolinfo.go.kr</x:v>
      </x:c>
      <x:c r="G78" s="48" t="str">
        <x:v>OFFICIAL</x:v>
      </x:c>
      <x:c r="H78" s="48" t="str">
        <x:v>SEEDED</x:v>
      </x:c>
      <x:c r="I78" s="48" t="str">
        <x:v>MONTHLY</x:v>
      </x:c>
      <x:c r="J78" s="48" t="str">
        <x:v>NOT_CHECKED_BY_IMPORTER</x:v>
      </x:c>
      <x:c r="K78" s="48" t="str">
        <x:v>2026-08-27</x:v>
      </x:c>
      <x:c r="L78" s="50" t="str">
        <x:v>리라초등학교 | 서울특별시 중구 소파로2길 7</x:v>
      </x:c>
    </x:row>
    <x:row r="79">
      <x:c r="A79" s="83" t="str">
        <x:v>schoolinfo-pending:lila.es.kr:website-root</x:v>
      </x:c>
      <x:c r="B79" s="48" t="str">
        <x:v>schoolinfo-pending:lila.es.kr</x:v>
      </x:c>
      <x:c r="C79" s="48" t="str">
        <x:v>OFFICIAL_WEBSITE</x:v>
      </x:c>
      <x:c r="D79" s="48" t="str">
        <x:v>OFFICIAL_WEBSITE_ROOT</x:v>
      </x:c>
      <x:c r="E79" s="48" t="str">
        <x:v>http://www.lila.es.kr</x:v>
      </x:c>
      <x:c r="F79" s="48" t="str">
        <x:v>lila.es.kr</x:v>
      </x:c>
      <x:c r="G79" s="48" t="str">
        <x:v>OFFICIAL_CANDIDATE_FROM_REGISTRY</x:v>
      </x:c>
      <x:c r="H79" s="48" t="str">
        <x:v>SEEDED</x:v>
      </x:c>
      <x:c r="I79" s="48" t="str">
        <x:v>SEASONAL_WEEKLY</x:v>
      </x:c>
      <x:c r="J79" s="48" t="str">
        <x:v>NOT_CHECKED</x:v>
      </x:c>
      <x:c r="K79" s="48" t="str">
        <x:v>2026-08-27</x:v>
      </x:c>
      <x:c r="L79" s="50" t="str">
        <x:v>Registry listing does not prove current reachability; collector must verify redirects, status, content type, and scope.</x:v>
      </x:c>
    </x:row>
    <x:row r="80">
      <x:c r="A80" s="83" t="str">
        <x:v>schoolinfo:81b0169a-eeca-413c-875f-7f6e37065f7c:registry</x:v>
      </x:c>
      <x:c r="B80" s="48" t="str">
        <x:v>schoolinfo:81b0169a-eeca-413c-875f-7f6e37065f7c</x:v>
      </x:c>
      <x:c r="C80" s="48" t="str">
        <x:v>OFFICIAL_REGISTRY</x:v>
      </x:c>
      <x:c r="D80" s="48" t="str">
        <x:v>REGISTRY_IDENTITY</x:v>
      </x:c>
      <x:c r="E80" s="48" t="str">
        <x:v>https://www.schoolinfo.go.kr/ei/ss/Pneiss_b01_s0.do?SHL_IDF_CD=81b0169a-eeca-413c-875f-7f6e37065f7c</x:v>
      </x:c>
      <x:c r="F80" s="48" t="str">
        <x:v>schoolinfo.go.kr</x:v>
      </x:c>
      <x:c r="G80" s="48" t="str">
        <x:v>OFFICIAL</x:v>
      </x:c>
      <x:c r="H80" s="48" t="str">
        <x:v>SEEDED</x:v>
      </x:c>
      <x:c r="I80" s="48" t="str">
        <x:v>MONTHLY</x:v>
      </x:c>
      <x:c r="J80" s="48" t="str">
        <x:v>NOT_CHECKED_BY_IMPORTER</x:v>
      </x:c>
      <x:c r="K80" s="48" t="str">
        <x:v>2026-08-27</x:v>
      </x:c>
      <x:c r="L80" s="50" t="str"/>
    </x:row>
    <x:row r="81">
      <x:c r="A81" s="83" t="str">
        <x:v>schoolinfo:81b0169a-eeca-413c-875f-7f6e37065f7c:website-root</x:v>
      </x:c>
      <x:c r="B81" s="48" t="str">
        <x:v>schoolinfo:81b0169a-eeca-413c-875f-7f6e37065f7c</x:v>
      </x:c>
      <x:c r="C81" s="48" t="str">
        <x:v>OFFICIAL_WEBSITE</x:v>
      </x:c>
      <x:c r="D81" s="48" t="str">
        <x:v>OFFICIAL_WEBSITE_ROOT</x:v>
      </x:c>
      <x:c r="E81" s="48" t="str">
        <x:v>http://soongeui.sen.es.kr</x:v>
      </x:c>
      <x:c r="F81" s="48" t="str">
        <x:v>soongeui.sen.es.kr</x:v>
      </x:c>
      <x:c r="G81" s="48" t="str">
        <x:v>OFFICIAL_CANDIDATE_FROM_REGISTRY</x:v>
      </x:c>
      <x:c r="H81" s="48" t="str">
        <x:v>SEEDED</x:v>
      </x:c>
      <x:c r="I81" s="48" t="str">
        <x:v>SEASONAL_WEEKLY</x:v>
      </x:c>
      <x:c r="J81" s="48" t="str">
        <x:v>NOT_CHECKED</x:v>
      </x:c>
      <x:c r="K81" s="48" t="str">
        <x:v>2026-08-27</x:v>
      </x:c>
      <x:c r="L81" s="50" t="str">
        <x:v>Registry listing does not prove current reachability; collector must verify redirects, status, content type, and scope.</x:v>
      </x:c>
    </x:row>
    <x:row r="82">
      <x:c r="A82" s="83" t="str">
        <x:v>schoolinfo:1aeb2cdf-3475-4eca-a64f-d6552bfbb88f:registry</x:v>
      </x:c>
      <x:c r="B82" s="48" t="str">
        <x:v>schoolinfo:1aeb2cdf-3475-4eca-a64f-d6552bfbb88f</x:v>
      </x:c>
      <x:c r="C82" s="48" t="str">
        <x:v>OFFICIAL_REGISTRY</x:v>
      </x:c>
      <x:c r="D82" s="48" t="str">
        <x:v>REGISTRY_IDENTITY</x:v>
      </x:c>
      <x:c r="E82" s="48" t="str">
        <x:v>https://www.schoolinfo.go.kr/ei/ss/Pneiss_b01_s0.do?SHL_IDF_CD=1aeb2cdf-3475-4eca-a64f-d6552bfbb88f</x:v>
      </x:c>
      <x:c r="F82" s="48" t="str">
        <x:v>schoolinfo.go.kr</x:v>
      </x:c>
      <x:c r="G82" s="48" t="str">
        <x:v>OFFICIAL</x:v>
      </x:c>
      <x:c r="H82" s="48" t="str">
        <x:v>SEEDED</x:v>
      </x:c>
      <x:c r="I82" s="48" t="str">
        <x:v>MONTHLY</x:v>
      </x:c>
      <x:c r="J82" s="48" t="str">
        <x:v>NOT_CHECKED_BY_IMPORTER</x:v>
      </x:c>
      <x:c r="K82" s="48" t="str">
        <x:v>2026-08-27</x:v>
      </x:c>
      <x:c r="L82" s="50" t="str"/>
    </x:row>
    <x:row r="83">
      <x:c r="A83" s="83" t="str">
        <x:v>schoolinfo:1aeb2cdf-3475-4eca-a64f-d6552bfbb88f:website-root</x:v>
      </x:c>
      <x:c r="B83" s="48" t="str">
        <x:v>schoolinfo:1aeb2cdf-3475-4eca-a64f-d6552bfbb88f</x:v>
      </x:c>
      <x:c r="C83" s="48" t="str">
        <x:v>OFFICIAL_WEBSITE</x:v>
      </x:c>
      <x:c r="D83" s="48" t="str">
        <x:v>OFFICIAL_WEBSITE_ROOT</x:v>
      </x:c>
      <x:c r="E83" s="48" t="str">
        <x:v>http://www.kumsung.net</x:v>
      </x:c>
      <x:c r="F83" s="48" t="str">
        <x:v>kumsung.net</x:v>
      </x:c>
      <x:c r="G83" s="48" t="str">
        <x:v>OFFICIAL_CANDIDATE_FROM_REGISTRY</x:v>
      </x:c>
      <x:c r="H83" s="48" t="str">
        <x:v>SEEDED</x:v>
      </x:c>
      <x:c r="I83" s="48" t="str">
        <x:v>SEASONAL_WEEKLY</x:v>
      </x:c>
      <x:c r="J83" s="48" t="str">
        <x:v>NOT_CHECKED</x:v>
      </x:c>
      <x:c r="K83" s="48" t="str">
        <x:v>2026-08-27</x:v>
      </x:c>
      <x:c r="L83" s="50" t="str">
        <x:v>Registry listing does not prove current reachability; collector must verify redirects, status, content type, and scope.</x:v>
      </x:c>
    </x:row>
    <x:row r="84">
      <x:c r="A84" s="83" t="str">
        <x:v>isi:ST01:32:registry</x:v>
      </x:c>
      <x:c r="B84" s="48" t="str">
        <x:v>isi:ST01:32</x:v>
      </x:c>
      <x:c r="C84" s="48" t="str">
        <x:v>OFFICIAL_REGISTRY</x:v>
      </x:c>
      <x:c r="D84" s="48" t="str">
        <x:v>REGISTRY_IDENTITY</x:v>
      </x:c>
      <x:c r="E84" s="48" t="str">
        <x:v>https://www.isi.go.kr/schl/info/SinfoView.do?schoolId=32&amp;schoolType=ST01</x:v>
      </x:c>
      <x:c r="F84" s="48" t="str">
        <x:v>isi.go.kr</x:v>
      </x:c>
      <x:c r="G84" s="48" t="str">
        <x:v>OFFICIAL</x:v>
      </x:c>
      <x:c r="H84" s="48" t="str">
        <x:v>SEEDED</x:v>
      </x:c>
      <x:c r="I84" s="48" t="str">
        <x:v>MONTHLY</x:v>
      </x:c>
      <x:c r="J84" s="48" t="str">
        <x:v>NOT_CHECKED_BY_IMPORTER</x:v>
      </x:c>
      <x:c r="K84" s="48" t="str">
        <x:v>2026-08-27</x:v>
      </x:c>
      <x:c r="L84" s="50" t="str"/>
    </x:row>
    <x:row r="85">
      <x:c r="A85" s="83" t="str">
        <x:v>isi:ST01:32:website-root</x:v>
      </x:c>
      <x:c r="B85" s="48" t="str">
        <x:v>isi:ST01:32</x:v>
      </x:c>
      <x:c r="C85" s="48" t="str">
        <x:v>OFFICIAL_WEBSITE</x:v>
      </x:c>
      <x:c r="D85" s="48" t="str">
        <x:v>OFFICIAL_WEBSITE_ROOT</x:v>
      </x:c>
      <x:c r="E85" s="48" t="str">
        <x:v>http://www.kis.or.kr</x:v>
      </x:c>
      <x:c r="F85" s="48" t="str">
        <x:v>kis.or.kr</x:v>
      </x:c>
      <x:c r="G85" s="48" t="str">
        <x:v>OFFICIAL_CANDIDATE_FROM_REGISTRY</x:v>
      </x:c>
      <x:c r="H85" s="48" t="str">
        <x:v>SEEDED</x:v>
      </x:c>
      <x:c r="I85" s="48" t="str">
        <x:v>WEEKLY</x:v>
      </x:c>
      <x:c r="J85" s="48" t="str">
        <x:v>NOT_CHECKED</x:v>
      </x:c>
      <x:c r="K85" s="48" t="str">
        <x:v>2026-08-27</x:v>
      </x:c>
      <x:c r="L85" s="50" t="str">
        <x:v>Registry listing does not prove current reachability; collector must verify redirects, status, content type, and scope.</x:v>
      </x:c>
    </x:row>
    <x:row r="86">
      <x:c r="A86" s="83" t="str">
        <x:v>isi:ST01:33:registry</x:v>
      </x:c>
      <x:c r="B86" s="48" t="str">
        <x:v>isi:ST01:33</x:v>
      </x:c>
      <x:c r="C86" s="48" t="str">
        <x:v>OFFICIAL_REGISTRY</x:v>
      </x:c>
      <x:c r="D86" s="48" t="str">
        <x:v>REGISTRY_IDENTITY</x:v>
      </x:c>
      <x:c r="E86" s="48" t="str">
        <x:v>https://www.isi.go.kr/schl/info/SinfoView.do?schoolId=33&amp;schoolType=ST01</x:v>
      </x:c>
      <x:c r="F86" s="48" t="str">
        <x:v>isi.go.kr</x:v>
      </x:c>
      <x:c r="G86" s="48" t="str">
        <x:v>OFFICIAL</x:v>
      </x:c>
      <x:c r="H86" s="48" t="str">
        <x:v>SEEDED</x:v>
      </x:c>
      <x:c r="I86" s="48" t="str">
        <x:v>MONTHLY</x:v>
      </x:c>
      <x:c r="J86" s="48" t="str">
        <x:v>NOT_CHECKED_BY_IMPORTER</x:v>
      </x:c>
      <x:c r="K86" s="48" t="str">
        <x:v>2026-08-27</x:v>
      </x:c>
      <x:c r="L86" s="50" t="str"/>
    </x:row>
    <x:row r="87">
      <x:c r="A87" s="83" t="str">
        <x:v>isi:ST01:33:website-root</x:v>
      </x:c>
      <x:c r="B87" s="48" t="str">
        <x:v>isi:ST01:33</x:v>
      </x:c>
      <x:c r="C87" s="48" t="str">
        <x:v>OFFICIAL_WEBSITE</x:v>
      </x:c>
      <x:c r="D87" s="48" t="str">
        <x:v>OFFICIAL_WEBSITE_ROOT</x:v>
      </x:c>
      <x:c r="E87" s="48" t="str">
        <x:v>http://www.siskorea.org</x:v>
      </x:c>
      <x:c r="F87" s="48" t="str">
        <x:v>siskorea.org</x:v>
      </x:c>
      <x:c r="G87" s="48" t="str">
        <x:v>OFFICIAL_CANDIDATE_FROM_REGISTRY</x:v>
      </x:c>
      <x:c r="H87" s="48" t="str">
        <x:v>SEEDED</x:v>
      </x:c>
      <x:c r="I87" s="48" t="str">
        <x:v>WEEKLY</x:v>
      </x:c>
      <x:c r="J87" s="48" t="str">
        <x:v>NOT_CHECKED</x:v>
      </x:c>
      <x:c r="K87" s="48" t="str">
        <x:v>2026-08-27</x:v>
      </x:c>
      <x:c r="L87" s="50" t="str">
        <x:v>Registry listing does not prove current reachability; collector must verify redirects, status, content type, and scope.</x:v>
      </x:c>
    </x:row>
    <x:row r="88">
      <x:c r="A88" s="83" t="str">
        <x:v>isi:ST01:34:registry</x:v>
      </x:c>
      <x:c r="B88" s="48" t="str">
        <x:v>isi:ST01:34</x:v>
      </x:c>
      <x:c r="C88" s="48" t="str">
        <x:v>OFFICIAL_REGISTRY</x:v>
      </x:c>
      <x:c r="D88" s="48" t="str">
        <x:v>REGISTRY_IDENTITY</x:v>
      </x:c>
      <x:c r="E88" s="48" t="str">
        <x:v>https://www.isi.go.kr/schl/info/SinfoView.do?schoolId=34&amp;schoolType=ST01</x:v>
      </x:c>
      <x:c r="F88" s="48" t="str">
        <x:v>isi.go.kr</x:v>
      </x:c>
      <x:c r="G88" s="48" t="str">
        <x:v>OFFICIAL</x:v>
      </x:c>
      <x:c r="H88" s="48" t="str">
        <x:v>SEEDED</x:v>
      </x:c>
      <x:c r="I88" s="48" t="str">
        <x:v>MONTHLY</x:v>
      </x:c>
      <x:c r="J88" s="48" t="str">
        <x:v>NOT_CHECKED_BY_IMPORTER</x:v>
      </x:c>
      <x:c r="K88" s="48" t="str">
        <x:v>2026-08-27</x:v>
      </x:c>
      <x:c r="L88" s="50" t="str"/>
    </x:row>
    <x:row r="89">
      <x:c r="A89" s="83" t="str">
        <x:v>isi:ST01:34:website-root</x:v>
      </x:c>
      <x:c r="B89" s="48" t="str">
        <x:v>isi:ST01:34</x:v>
      </x:c>
      <x:c r="C89" s="48" t="str">
        <x:v>OFFICIAL_WEBSITE</x:v>
      </x:c>
      <x:c r="D89" s="48" t="str">
        <x:v>OFFICIAL_WEBSITE_ROOT</x:v>
      </x:c>
      <x:c r="E89" s="48" t="str">
        <x:v>http://www.gsis.sc.kr</x:v>
      </x:c>
      <x:c r="F89" s="48" t="str">
        <x:v>gsis.sc.kr</x:v>
      </x:c>
      <x:c r="G89" s="48" t="str">
        <x:v>OFFICIAL_CANDIDATE_FROM_REGISTRY</x:v>
      </x:c>
      <x:c r="H89" s="48" t="str">
        <x:v>SEEDED</x:v>
      </x:c>
      <x:c r="I89" s="48" t="str">
        <x:v>WEEKLY</x:v>
      </x:c>
      <x:c r="J89" s="48" t="str">
        <x:v>NOT_CHECKED</x:v>
      </x:c>
      <x:c r="K89" s="48" t="str">
        <x:v>2026-08-27</x:v>
      </x:c>
      <x:c r="L89" s="50" t="str">
        <x:v>Registry listing does not prove current reachability; collector must verify redirects, status, content type, and scope.</x:v>
      </x:c>
    </x:row>
    <x:row r="90">
      <x:c r="A90" s="83" t="str">
        <x:v>isi:ST01:38:registry</x:v>
      </x:c>
      <x:c r="B90" s="48" t="str">
        <x:v>isi:ST01:38</x:v>
      </x:c>
      <x:c r="C90" s="48" t="str">
        <x:v>OFFICIAL_REGISTRY</x:v>
      </x:c>
      <x:c r="D90" s="48" t="str">
        <x:v>REGISTRY_IDENTITY</x:v>
      </x:c>
      <x:c r="E90" s="48" t="str">
        <x:v>https://www.isi.go.kr/schl/info/SinfoView.do?schoolId=38&amp;schoolType=ST01</x:v>
      </x:c>
      <x:c r="F90" s="48" t="str">
        <x:v>isi.go.kr</x:v>
      </x:c>
      <x:c r="G90" s="48" t="str">
        <x:v>OFFICIAL</x:v>
      </x:c>
      <x:c r="H90" s="48" t="str">
        <x:v>SEEDED</x:v>
      </x:c>
      <x:c r="I90" s="48" t="str">
        <x:v>MONTHLY</x:v>
      </x:c>
      <x:c r="J90" s="48" t="str">
        <x:v>NOT_CHECKED_BY_IMPORTER</x:v>
      </x:c>
      <x:c r="K90" s="48" t="str">
        <x:v>2026-08-27</x:v>
      </x:c>
      <x:c r="L90" s="50" t="str"/>
    </x:row>
    <x:row r="91">
      <x:c r="A91" s="83" t="str">
        <x:v>isi:ST01:38:website-root</x:v>
      </x:c>
      <x:c r="B91" s="48" t="str">
        <x:v>isi:ST01:38</x:v>
      </x:c>
      <x:c r="C91" s="48" t="str">
        <x:v>OFFICIAL_WEBSITE</x:v>
      </x:c>
      <x:c r="D91" s="48" t="str">
        <x:v>OFFICIAL_WEBSITE_ROOT</x:v>
      </x:c>
      <x:c r="E91" s="48" t="str">
        <x:v>http://www.scis.sc.kr</x:v>
      </x:c>
      <x:c r="F91" s="48" t="str">
        <x:v>scis.sc.kr</x:v>
      </x:c>
      <x:c r="G91" s="48" t="str">
        <x:v>OFFICIAL_CANDIDATE_FROM_REGISTRY</x:v>
      </x:c>
      <x:c r="H91" s="48" t="str">
        <x:v>SEEDED</x:v>
      </x:c>
      <x:c r="I91" s="48" t="str">
        <x:v>WEEKLY</x:v>
      </x:c>
      <x:c r="J91" s="48" t="str">
        <x:v>NOT_CHECKED</x:v>
      </x:c>
      <x:c r="K91" s="48" t="str">
        <x:v>2026-08-27</x:v>
      </x:c>
      <x:c r="L91" s="50" t="str">
        <x:v>Registry listing does not prove current reachability; collector must verify redirects, status, content type, and scope.</x:v>
      </x:c>
    </x:row>
    <x:row r="92">
      <x:c r="A92" s="83" t="str">
        <x:v>isi:ST01:36:registry</x:v>
      </x:c>
      <x:c r="B92" s="48" t="str">
        <x:v>isi:ST01:36</x:v>
      </x:c>
      <x:c r="C92" s="48" t="str">
        <x:v>OFFICIAL_REGISTRY</x:v>
      </x:c>
      <x:c r="D92" s="48" t="str">
        <x:v>REGISTRY_IDENTITY</x:v>
      </x:c>
      <x:c r="E92" s="48" t="str">
        <x:v>https://www.isi.go.kr/schl/info/SinfoView.do?schoolId=36&amp;schoolType=ST01</x:v>
      </x:c>
      <x:c r="F92" s="48" t="str">
        <x:v>isi.go.kr</x:v>
      </x:c>
      <x:c r="G92" s="48" t="str">
        <x:v>OFFICIAL</x:v>
      </x:c>
      <x:c r="H92" s="48" t="str">
        <x:v>SEEDED</x:v>
      </x:c>
      <x:c r="I92" s="48" t="str">
        <x:v>MONTHLY</x:v>
      </x:c>
      <x:c r="J92" s="48" t="str">
        <x:v>NOT_CHECKED_BY_IMPORTER</x:v>
      </x:c>
      <x:c r="K92" s="48" t="str">
        <x:v>2026-08-27</x:v>
      </x:c>
      <x:c r="L92" s="50" t="str"/>
    </x:row>
    <x:row r="93">
      <x:c r="A93" s="83" t="str">
        <x:v>isi:ST01:36:website-root</x:v>
      </x:c>
      <x:c r="B93" s="48" t="str">
        <x:v>isi:ST01:36</x:v>
      </x:c>
      <x:c r="C93" s="48" t="str">
        <x:v>OFFICIAL_WEBSITE</x:v>
      </x:c>
      <x:c r="D93" s="48" t="str">
        <x:v>OFFICIAL_WEBSITE_ROOT</x:v>
      </x:c>
      <x:c r="E93" s="48" t="str">
        <x:v>http://www.icsu.kr</x:v>
      </x:c>
      <x:c r="F93" s="48" t="str">
        <x:v>icsu.kr</x:v>
      </x:c>
      <x:c r="G93" s="48" t="str">
        <x:v>OFFICIAL_CANDIDATE_FROM_REGISTRY</x:v>
      </x:c>
      <x:c r="H93" s="48" t="str">
        <x:v>SEEDED</x:v>
      </x:c>
      <x:c r="I93" s="48" t="str">
        <x:v>WEEKLY</x:v>
      </x:c>
      <x:c r="J93" s="48" t="str">
        <x:v>NOT_CHECKED</x:v>
      </x:c>
      <x:c r="K93" s="48" t="str">
        <x:v>2026-08-27</x:v>
      </x:c>
      <x:c r="L93" s="50" t="str">
        <x:v>Registry listing does not prove current reachability; collector must verify redirects, status, content type, and scope.</x:v>
      </x:c>
    </x:row>
    <x:row r="94">
      <x:c r="A94" s="83" t="str">
        <x:v>isi:ST01:57:registry</x:v>
      </x:c>
      <x:c r="B94" s="48" t="str">
        <x:v>isi:ST01:57</x:v>
      </x:c>
      <x:c r="C94" s="48" t="str">
        <x:v>OFFICIAL_REGISTRY</x:v>
      </x:c>
      <x:c r="D94" s="48" t="str">
        <x:v>REGISTRY_IDENTITY</x:v>
      </x:c>
      <x:c r="E94" s="48" t="str">
        <x:v>https://www.isi.go.kr/schl/info/SinfoView.do?schoolId=57&amp;schoolType=ST01</x:v>
      </x:c>
      <x:c r="F94" s="48" t="str">
        <x:v>isi.go.kr</x:v>
      </x:c>
      <x:c r="G94" s="48" t="str">
        <x:v>OFFICIAL</x:v>
      </x:c>
      <x:c r="H94" s="48" t="str">
        <x:v>SEEDED</x:v>
      </x:c>
      <x:c r="I94" s="48" t="str">
        <x:v>MONTHLY</x:v>
      </x:c>
      <x:c r="J94" s="48" t="str">
        <x:v>NOT_CHECKED_BY_IMPORTER</x:v>
      </x:c>
      <x:c r="K94" s="48" t="str">
        <x:v>2026-08-27</x:v>
      </x:c>
      <x:c r="L94" s="50" t="str"/>
    </x:row>
    <x:row r="95">
      <x:c r="A95" s="83" t="str">
        <x:v>isi:ST01:57:website-root</x:v>
      </x:c>
      <x:c r="B95" s="48" t="str">
        <x:v>isi:ST01:57</x:v>
      </x:c>
      <x:c r="C95" s="48" t="str">
        <x:v>OFFICIAL_WEBSITE</x:v>
      </x:c>
      <x:c r="D95" s="48" t="str">
        <x:v>OFFICIAL_WEBSITE_ROOT</x:v>
      </x:c>
      <x:c r="E95" s="48" t="str">
        <x:v>http://www.icsptk.org</x:v>
      </x:c>
      <x:c r="F95" s="48" t="str">
        <x:v>icsptk.org</x:v>
      </x:c>
      <x:c r="G95" s="48" t="str">
        <x:v>OFFICIAL_CANDIDATE_FROM_REGISTRY</x:v>
      </x:c>
      <x:c r="H95" s="48" t="str">
        <x:v>SEEDED</x:v>
      </x:c>
      <x:c r="I95" s="48" t="str">
        <x:v>WEEKLY</x:v>
      </x:c>
      <x:c r="J95" s="48" t="str">
        <x:v>NOT_CHECKED</x:v>
      </x:c>
      <x:c r="K95" s="48" t="str">
        <x:v>2026-08-27</x:v>
      </x:c>
      <x:c r="L95" s="50" t="str">
        <x:v>Registry listing does not prove current reachability; collector must verify redirects, status, content type, and scope.</x:v>
      </x:c>
    </x:row>
    <x:row r="96">
      <x:c r="A96" s="83" t="str">
        <x:v>isi:ST01:1:registry</x:v>
      </x:c>
      <x:c r="B96" s="48" t="str">
        <x:v>isi:ST01:1</x:v>
      </x:c>
      <x:c r="C96" s="48" t="str">
        <x:v>OFFICIAL_REGISTRY</x:v>
      </x:c>
      <x:c r="D96" s="48" t="str">
        <x:v>REGISTRY_IDENTITY</x:v>
      </x:c>
      <x:c r="E96" s="48" t="str">
        <x:v>https://www.isi.go.kr/schl/info/SinfoView.do?schoolId=1&amp;schoolType=ST01</x:v>
      </x:c>
      <x:c r="F96" s="48" t="str">
        <x:v>isi.go.kr</x:v>
      </x:c>
      <x:c r="G96" s="48" t="str">
        <x:v>OFFICIAL</x:v>
      </x:c>
      <x:c r="H96" s="48" t="str">
        <x:v>SEEDED</x:v>
      </x:c>
      <x:c r="I96" s="48" t="str">
        <x:v>MONTHLY</x:v>
      </x:c>
      <x:c r="J96" s="48" t="str">
        <x:v>NOT_CHECKED_BY_IMPORTER</x:v>
      </x:c>
      <x:c r="K96" s="48" t="str">
        <x:v>2026-08-27</x:v>
      </x:c>
      <x:c r="L96" s="50" t="str"/>
    </x:row>
    <x:row r="97">
      <x:c r="A97" s="83" t="str">
        <x:v>isi:ST01:1:website-root</x:v>
      </x:c>
      <x:c r="B97" s="48" t="str">
        <x:v>isi:ST01:1</x:v>
      </x:c>
      <x:c r="C97" s="48" t="str">
        <x:v>OFFICIAL_WEBSITE</x:v>
      </x:c>
      <x:c r="D97" s="48" t="str">
        <x:v>OFFICIAL_WEBSITE_ROOT</x:v>
      </x:c>
      <x:c r="E97" s="48" t="str">
        <x:v>http://kisseoul.or.kr</x:v>
      </x:c>
      <x:c r="F97" s="48" t="str">
        <x:v>kisseoul.or.kr</x:v>
      </x:c>
      <x:c r="G97" s="48" t="str">
        <x:v>OFFICIAL_CANDIDATE_FROM_REGISTRY</x:v>
      </x:c>
      <x:c r="H97" s="48" t="str">
        <x:v>SEEDED</x:v>
      </x:c>
      <x:c r="I97" s="48" t="str">
        <x:v>WEEKLY</x:v>
      </x:c>
      <x:c r="J97" s="48" t="str">
        <x:v>NOT_CHECKED</x:v>
      </x:c>
      <x:c r="K97" s="48" t="str">
        <x:v>2026-08-27</x:v>
      </x:c>
      <x:c r="L97" s="50" t="str">
        <x:v>Registry listing does not prove current reachability; collector must verify redirects, status, content type, and scope.</x:v>
      </x:c>
    </x:row>
    <x:row r="98">
      <x:c r="A98" s="83" t="str">
        <x:v>isi:ST01:20:registry</x:v>
      </x:c>
      <x:c r="B98" s="48" t="str">
        <x:v>isi:ST01:20</x:v>
      </x:c>
      <x:c r="C98" s="48" t="str">
        <x:v>OFFICIAL_REGISTRY</x:v>
      </x:c>
      <x:c r="D98" s="48" t="str">
        <x:v>REGISTRY_IDENTITY</x:v>
      </x:c>
      <x:c r="E98" s="48" t="str">
        <x:v>https://www.isi.go.kr/schl/info/SinfoView.do?schoolId=20&amp;schoolType=ST01</x:v>
      </x:c>
      <x:c r="F98" s="48" t="str">
        <x:v>isi.go.kr</x:v>
      </x:c>
      <x:c r="G98" s="48" t="str">
        <x:v>OFFICIAL</x:v>
      </x:c>
      <x:c r="H98" s="48" t="str">
        <x:v>SEEDED</x:v>
      </x:c>
      <x:c r="I98" s="48" t="str">
        <x:v>MONTHLY</x:v>
      </x:c>
      <x:c r="J98" s="48" t="str">
        <x:v>NOT_CHECKED_BY_IMPORTER</x:v>
      </x:c>
      <x:c r="K98" s="48" t="str">
        <x:v>2026-08-27</x:v>
      </x:c>
      <x:c r="L98" s="50" t="str"/>
    </x:row>
    <x:row r="99">
      <x:c r="A99" s="83" t="str">
        <x:v>isi:ST01:20:website-root</x:v>
      </x:c>
      <x:c r="B99" s="48" t="str">
        <x:v>isi:ST01:20</x:v>
      </x:c>
      <x:c r="C99" s="48" t="str">
        <x:v>OFFICIAL_WEBSITE</x:v>
      </x:c>
      <x:c r="D99" s="48" t="str">
        <x:v>OFFICIAL_WEBSITE_ROOT</x:v>
      </x:c>
      <x:c r="E99" s="48" t="str">
        <x:v>http://www.mongolschool.org</x:v>
      </x:c>
      <x:c r="F99" s="48" t="str">
        <x:v>mongolschool.org</x:v>
      </x:c>
      <x:c r="G99" s="48" t="str">
        <x:v>OFFICIAL_CANDIDATE_FROM_REGISTRY</x:v>
      </x:c>
      <x:c r="H99" s="48" t="str">
        <x:v>SEEDED</x:v>
      </x:c>
      <x:c r="I99" s="48" t="str">
        <x:v>WEEKLY</x:v>
      </x:c>
      <x:c r="J99" s="48" t="str">
        <x:v>NOT_CHECKED</x:v>
      </x:c>
      <x:c r="K99" s="48" t="str">
        <x:v>2026-08-27</x:v>
      </x:c>
      <x:c r="L99" s="50" t="str">
        <x:v>Registry listing does not prove current reachability; collector must verify redirects, status, content type, and scope.</x:v>
      </x:c>
    </x:row>
    <x:row r="100">
      <x:c r="A100" s="83" t="str">
        <x:v>isi:ST01:3:registry</x:v>
      </x:c>
      <x:c r="B100" s="48" t="str">
        <x:v>isi:ST01:3</x:v>
      </x:c>
      <x:c r="C100" s="48" t="str">
        <x:v>OFFICIAL_REGISTRY</x:v>
      </x:c>
      <x:c r="D100" s="48" t="str">
        <x:v>REGISTRY_IDENTITY</x:v>
      </x:c>
      <x:c r="E100" s="48" t="str">
        <x:v>https://www.isi.go.kr/schl/info/SinfoView.do?schoolId=3&amp;schoolType=ST01</x:v>
      </x:c>
      <x:c r="F100" s="48" t="str">
        <x:v>isi.go.kr</x:v>
      </x:c>
      <x:c r="G100" s="48" t="str">
        <x:v>OFFICIAL</x:v>
      </x:c>
      <x:c r="H100" s="48" t="str">
        <x:v>SEEDED</x:v>
      </x:c>
      <x:c r="I100" s="48" t="str">
        <x:v>MONTHLY</x:v>
      </x:c>
      <x:c r="J100" s="48" t="str">
        <x:v>NOT_CHECKED_BY_IMPORTER</x:v>
      </x:c>
      <x:c r="K100" s="48" t="str">
        <x:v>2026-08-27</x:v>
      </x:c>
      <x:c r="L100" s="50" t="str"/>
    </x:row>
    <x:row r="101">
      <x:c r="A101" s="83" t="str">
        <x:v>isi:ST01:3:website-root</x:v>
      </x:c>
      <x:c r="B101" s="48" t="str">
        <x:v>isi:ST01:3</x:v>
      </x:c>
      <x:c r="C101" s="48" t="str">
        <x:v>OFFICIAL_WEBSITE</x:v>
      </x:c>
      <x:c r="D101" s="48" t="str">
        <x:v>OFFICIAL_WEBSITE_ROOT</x:v>
      </x:c>
      <x:c r="E101" s="48" t="str">
        <x:v>http://www.kkfs.org</x:v>
      </x:c>
      <x:c r="F101" s="48" t="str">
        <x:v>kkfs.org</x:v>
      </x:c>
      <x:c r="G101" s="48" t="str">
        <x:v>OFFICIAL_CANDIDATE_FROM_REGISTRY</x:v>
      </x:c>
      <x:c r="H101" s="48" t="str">
        <x:v>SEEDED</x:v>
      </x:c>
      <x:c r="I101" s="48" t="str">
        <x:v>WEEKLY</x:v>
      </x:c>
      <x:c r="J101" s="48" t="str">
        <x:v>NOT_CHECKED</x:v>
      </x:c>
      <x:c r="K101" s="48" t="str">
        <x:v>2026-08-27</x:v>
      </x:c>
      <x:c r="L101" s="50" t="str">
        <x:v>Registry listing does not prove current reachability; collector must verify redirects, status, content type, and scope.</x:v>
      </x:c>
    </x:row>
    <x:row r="102">
      <x:c r="A102" s="83" t="str">
        <x:v>isi:ST01:4:registry</x:v>
      </x:c>
      <x:c r="B102" s="48" t="str">
        <x:v>isi:ST01:4</x:v>
      </x:c>
      <x:c r="C102" s="48" t="str">
        <x:v>OFFICIAL_REGISTRY</x:v>
      </x:c>
      <x:c r="D102" s="48" t="str">
        <x:v>REGISTRY_IDENTITY</x:v>
      </x:c>
      <x:c r="E102" s="48" t="str">
        <x:v>https://www.isi.go.kr/schl/info/SinfoView.do?schoolId=4&amp;schoolType=ST01</x:v>
      </x:c>
      <x:c r="F102" s="48" t="str">
        <x:v>isi.go.kr</x:v>
      </x:c>
      <x:c r="G102" s="48" t="str">
        <x:v>OFFICIAL</x:v>
      </x:c>
      <x:c r="H102" s="48" t="str">
        <x:v>SEEDED</x:v>
      </x:c>
      <x:c r="I102" s="48" t="str">
        <x:v>MONTHLY</x:v>
      </x:c>
      <x:c r="J102" s="48" t="str">
        <x:v>NOT_CHECKED_BY_IMPORTER</x:v>
      </x:c>
      <x:c r="K102" s="48" t="str">
        <x:v>2026-08-27</x:v>
      </x:c>
      <x:c r="L102" s="50" t="str"/>
    </x:row>
    <x:row r="103">
      <x:c r="A103" s="83" t="str">
        <x:v>isi:ST01:4:website-root</x:v>
      </x:c>
      <x:c r="B103" s="48" t="str">
        <x:v>isi:ST01:4</x:v>
      </x:c>
      <x:c r="C103" s="48" t="str">
        <x:v>OFFICIAL_WEBSITE</x:v>
      </x:c>
      <x:c r="D103" s="48" t="str">
        <x:v>OFFICIAL_WEBSITE_ROOT</x:v>
      </x:c>
      <x:c r="E103" s="48" t="str">
        <x:v>http://www.apis.org</x:v>
      </x:c>
      <x:c r="F103" s="48" t="str">
        <x:v>apis.org</x:v>
      </x:c>
      <x:c r="G103" s="48" t="str">
        <x:v>OFFICIAL_CANDIDATE_FROM_REGISTRY</x:v>
      </x:c>
      <x:c r="H103" s="48" t="str">
        <x:v>SEEDED</x:v>
      </x:c>
      <x:c r="I103" s="48" t="str">
        <x:v>WEEKLY</x:v>
      </x:c>
      <x:c r="J103" s="48" t="str">
        <x:v>NOT_CHECKED</x:v>
      </x:c>
      <x:c r="K103" s="48" t="str">
        <x:v>2026-08-27</x:v>
      </x:c>
      <x:c r="L103" s="50" t="str">
        <x:v>Registry listing does not prove current reachability; collector must verify redirects, status, content type, and scope.</x:v>
      </x:c>
    </x:row>
    <x:row r="104">
      <x:c r="A104" s="83" t="str">
        <x:v>isi:ST01:76:registry</x:v>
      </x:c>
      <x:c r="B104" s="48" t="str">
        <x:v>isi:ST01:76</x:v>
      </x:c>
      <x:c r="C104" s="48" t="str">
        <x:v>OFFICIAL_REGISTRY</x:v>
      </x:c>
      <x:c r="D104" s="48" t="str">
        <x:v>REGISTRY_IDENTITY</x:v>
      </x:c>
      <x:c r="E104" s="48" t="str">
        <x:v>https://www.isi.go.kr/schl/info/SinfoView.do?schoolId=76&amp;schoolType=ST01</x:v>
      </x:c>
      <x:c r="F104" s="48" t="str">
        <x:v>isi.go.kr</x:v>
      </x:c>
      <x:c r="G104" s="48" t="str">
        <x:v>OFFICIAL</x:v>
      </x:c>
      <x:c r="H104" s="48" t="str">
        <x:v>SEEDED</x:v>
      </x:c>
      <x:c r="I104" s="48" t="str">
        <x:v>MONTHLY</x:v>
      </x:c>
      <x:c r="J104" s="48" t="str">
        <x:v>NOT_CHECKED_BY_IMPORTER</x:v>
      </x:c>
      <x:c r="K104" s="48" t="str">
        <x:v>2026-08-27</x:v>
      </x:c>
      <x:c r="L104" s="50" t="str"/>
    </x:row>
    <x:row r="105">
      <x:c r="A105" s="83" t="str">
        <x:v>isi:ST01:76:website-root</x:v>
      </x:c>
      <x:c r="B105" s="48" t="str">
        <x:v>isi:ST01:76</x:v>
      </x:c>
      <x:c r="C105" s="48" t="str">
        <x:v>OFFICIAL_WEBSITE</x:v>
      </x:c>
      <x:c r="D105" s="48" t="str">
        <x:v>OFFICIAL_WEBSITE_ROOT</x:v>
      </x:c>
      <x:c r="E105" s="48" t="str">
        <x:v>http://www.dwight.or.kr</x:v>
      </x:c>
      <x:c r="F105" s="48" t="str">
        <x:v>dwight.or.kr</x:v>
      </x:c>
      <x:c r="G105" s="48" t="str">
        <x:v>OFFICIAL_CANDIDATE_FROM_REGISTRY</x:v>
      </x:c>
      <x:c r="H105" s="48" t="str">
        <x:v>SEEDED</x:v>
      </x:c>
      <x:c r="I105" s="48" t="str">
        <x:v>WEEKLY</x:v>
      </x:c>
      <x:c r="J105" s="48" t="str">
        <x:v>NOT_CHECKED</x:v>
      </x:c>
      <x:c r="K105" s="48" t="str">
        <x:v>2026-08-27</x:v>
      </x:c>
      <x:c r="L105" s="50" t="str">
        <x:v>Registry listing does not prove current reachability; collector must verify redirects, status, content type, and scope.</x:v>
      </x:c>
    </x:row>
    <x:row r="106">
      <x:c r="A106" s="83" t="str">
        <x:v>isi:ST01:18:registry</x:v>
      </x:c>
      <x:c r="B106" s="48" t="str">
        <x:v>isi:ST01:18</x:v>
      </x:c>
      <x:c r="C106" s="48" t="str">
        <x:v>OFFICIAL_REGISTRY</x:v>
      </x:c>
      <x:c r="D106" s="48" t="str">
        <x:v>REGISTRY_IDENTITY</x:v>
      </x:c>
      <x:c r="E106" s="48" t="str">
        <x:v>https://www.isi.go.kr/schl/info/SinfoView.do?schoolId=18&amp;schoolType=ST01</x:v>
      </x:c>
      <x:c r="F106" s="48" t="str">
        <x:v>isi.go.kr</x:v>
      </x:c>
      <x:c r="G106" s="48" t="str">
        <x:v>OFFICIAL</x:v>
      </x:c>
      <x:c r="H106" s="48" t="str">
        <x:v>SEEDED</x:v>
      </x:c>
      <x:c r="I106" s="48" t="str">
        <x:v>MONTHLY</x:v>
      </x:c>
      <x:c r="J106" s="48" t="str">
        <x:v>NOT_CHECKED_BY_IMPORTER</x:v>
      </x:c>
      <x:c r="K106" s="48" t="str">
        <x:v>2026-08-27</x:v>
      </x:c>
      <x:c r="L106" s="50" t="str"/>
    </x:row>
    <x:row r="107">
      <x:c r="A107" s="83" t="str">
        <x:v>isi:ST01:18:website-root</x:v>
      </x:c>
      <x:c r="B107" s="48" t="str">
        <x:v>isi:ST01:18</x:v>
      </x:c>
      <x:c r="C107" s="48" t="str">
        <x:v>OFFICIAL_WEBSITE</x:v>
      </x:c>
      <x:c r="D107" s="48" t="str">
        <x:v>OFFICIAL_WEBSITE_ROOT</x:v>
      </x:c>
      <x:c r="E107" s="48" t="str">
        <x:v>http://www.sjs.or.kr</x:v>
      </x:c>
      <x:c r="F107" s="48" t="str">
        <x:v>sjs.or.kr</x:v>
      </x:c>
      <x:c r="G107" s="48" t="str">
        <x:v>OFFICIAL_CANDIDATE_FROM_REGISTRY</x:v>
      </x:c>
      <x:c r="H107" s="48" t="str">
        <x:v>SEEDED</x:v>
      </x:c>
      <x:c r="I107" s="48" t="str">
        <x:v>WEEKLY</x:v>
      </x:c>
      <x:c r="J107" s="48" t="str">
        <x:v>NOT_CHECKED</x:v>
      </x:c>
      <x:c r="K107" s="48" t="str">
        <x:v>2026-08-27</x:v>
      </x:c>
      <x:c r="L107" s="50" t="str">
        <x:v>Registry listing does not prove current reachability; collector must verify redirects, status, content type, and scope.</x:v>
      </x:c>
    </x:row>
    <x:row r="108">
      <x:c r="A108" s="83" t="str">
        <x:v>isi:ST01:5:registry</x:v>
      </x:c>
      <x:c r="B108" s="48" t="str">
        <x:v>isi:ST01:5</x:v>
      </x:c>
      <x:c r="C108" s="48" t="str">
        <x:v>OFFICIAL_REGISTRY</x:v>
      </x:c>
      <x:c r="D108" s="48" t="str">
        <x:v>REGISTRY_IDENTITY</x:v>
      </x:c>
      <x:c r="E108" s="48" t="str">
        <x:v>https://www.isi.go.kr/schl/info/SinfoView.do?schoolId=5&amp;schoolType=ST01</x:v>
      </x:c>
      <x:c r="F108" s="48" t="str">
        <x:v>isi.go.kr</x:v>
      </x:c>
      <x:c r="G108" s="48" t="str">
        <x:v>OFFICIAL</x:v>
      </x:c>
      <x:c r="H108" s="48" t="str">
        <x:v>SEEDED</x:v>
      </x:c>
      <x:c r="I108" s="48" t="str">
        <x:v>MONTHLY</x:v>
      </x:c>
      <x:c r="J108" s="48" t="str">
        <x:v>NOT_CHECKED_BY_IMPORTER</x:v>
      </x:c>
      <x:c r="K108" s="48" t="str">
        <x:v>2026-08-27</x:v>
      </x:c>
      <x:c r="L108" s="50" t="str"/>
    </x:row>
    <x:row r="109">
      <x:c r="A109" s="83" t="str">
        <x:v>isi:ST01:5:website-root</x:v>
      </x:c>
      <x:c r="B109" s="48" t="str">
        <x:v>isi:ST01:5</x:v>
      </x:c>
      <x:c r="C109" s="48" t="str">
        <x:v>OFFICIAL_WEBSITE</x:v>
      </x:c>
      <x:c r="D109" s="48" t="str">
        <x:v>OFFICIAL_WEBSITE_ROOT</x:v>
      </x:c>
      <x:c r="E109" s="48" t="str">
        <x:v>http://www.seoulforeign.org</x:v>
      </x:c>
      <x:c r="F109" s="48" t="str">
        <x:v>seoulforeign.org</x:v>
      </x:c>
      <x:c r="G109" s="48" t="str">
        <x:v>OFFICIAL_CANDIDATE_FROM_REGISTRY</x:v>
      </x:c>
      <x:c r="H109" s="48" t="str">
        <x:v>SEEDED</x:v>
      </x:c>
      <x:c r="I109" s="48" t="str">
        <x:v>WEEKLY</x:v>
      </x:c>
      <x:c r="J109" s="48" t="str">
        <x:v>NOT_CHECKED</x:v>
      </x:c>
      <x:c r="K109" s="48" t="str">
        <x:v>2026-08-27</x:v>
      </x:c>
      <x:c r="L109" s="50" t="str">
        <x:v>Registry listing does not prove current reachability; collector must verify redirects, status, content type, and scope.</x:v>
      </x:c>
    </x:row>
    <x:row r="110">
      <x:c r="A110" s="83" t="str">
        <x:v>isi:ST01:56:registry</x:v>
      </x:c>
      <x:c r="B110" s="48" t="str">
        <x:v>isi:ST01:56</x:v>
      </x:c>
      <x:c r="C110" s="48" t="str">
        <x:v>OFFICIAL_REGISTRY</x:v>
      </x:c>
      <x:c r="D110" s="48" t="str">
        <x:v>REGISTRY_IDENTITY</x:v>
      </x:c>
      <x:c r="E110" s="48" t="str">
        <x:v>https://www.isi.go.kr/schl/info/SinfoView.do?schoolId=56&amp;schoolType=ST01</x:v>
      </x:c>
      <x:c r="F110" s="48" t="str">
        <x:v>isi.go.kr</x:v>
      </x:c>
      <x:c r="G110" s="48" t="str">
        <x:v>OFFICIAL</x:v>
      </x:c>
      <x:c r="H110" s="48" t="str">
        <x:v>SEEDED</x:v>
      </x:c>
      <x:c r="I110" s="48" t="str">
        <x:v>MONTHLY</x:v>
      </x:c>
      <x:c r="J110" s="48" t="str">
        <x:v>NOT_CHECKED_BY_IMPORTER</x:v>
      </x:c>
      <x:c r="K110" s="48" t="str">
        <x:v>2026-08-27</x:v>
      </x:c>
      <x:c r="L110" s="50" t="str"/>
    </x:row>
    <x:row r="111">
      <x:c r="A111" s="83" t="str">
        <x:v>isi:ST01:56:website-root</x:v>
      </x:c>
      <x:c r="B111" s="48" t="str">
        <x:v>isi:ST01:56</x:v>
      </x:c>
      <x:c r="C111" s="48" t="str">
        <x:v>OFFICIAL_WEBSITE</x:v>
      </x:c>
      <x:c r="D111" s="48" t="str">
        <x:v>OFFICIAL_WEBSITE_ROOT</x:v>
      </x:c>
      <x:c r="E111" s="48" t="str">
        <x:v>http://www.dulwich-seoul.kr</x:v>
      </x:c>
      <x:c r="F111" s="48" t="str">
        <x:v>dulwich-seoul.kr</x:v>
      </x:c>
      <x:c r="G111" s="48" t="str">
        <x:v>OFFICIAL_CANDIDATE_FROM_REGISTRY</x:v>
      </x:c>
      <x:c r="H111" s="48" t="str">
        <x:v>SEEDED</x:v>
      </x:c>
      <x:c r="I111" s="48" t="str">
        <x:v>WEEKLY</x:v>
      </x:c>
      <x:c r="J111" s="48" t="str">
        <x:v>NOT_CHECKED</x:v>
      </x:c>
      <x:c r="K111" s="48" t="str">
        <x:v>2026-08-27</x:v>
      </x:c>
      <x:c r="L111" s="50" t="str">
        <x:v>Registry listing does not prove current reachability; collector must verify redirects, status, content type, and scope.</x:v>
      </x:c>
    </x:row>
    <x:row r="112">
      <x:c r="A112" s="83" t="str">
        <x:v>isi:ST01:16:registry</x:v>
      </x:c>
      <x:c r="B112" s="48" t="str">
        <x:v>isi:ST01:16</x:v>
      </x:c>
      <x:c r="C112" s="48" t="str">
        <x:v>OFFICIAL_REGISTRY</x:v>
      </x:c>
      <x:c r="D112" s="48" t="str">
        <x:v>REGISTRY_IDENTITY</x:v>
      </x:c>
      <x:c r="E112" s="48" t="str">
        <x:v>https://www.isi.go.kr/schl/info/SinfoView.do?schoolId=16&amp;schoolType=ST01</x:v>
      </x:c>
      <x:c r="F112" s="48" t="str">
        <x:v>isi.go.kr</x:v>
      </x:c>
      <x:c r="G112" s="48" t="str">
        <x:v>OFFICIAL</x:v>
      </x:c>
      <x:c r="H112" s="48" t="str">
        <x:v>SEEDED</x:v>
      </x:c>
      <x:c r="I112" s="48" t="str">
        <x:v>MONTHLY</x:v>
      </x:c>
      <x:c r="J112" s="48" t="str">
        <x:v>NOT_CHECKED_BY_IMPORTER</x:v>
      </x:c>
      <x:c r="K112" s="48" t="str">
        <x:v>2026-08-27</x:v>
      </x:c>
      <x:c r="L112" s="50" t="str"/>
    </x:row>
    <x:row r="113">
      <x:c r="A113" s="83" t="str">
        <x:v>isi:ST01:16:website-root</x:v>
      </x:c>
      <x:c r="B113" s="48" t="str">
        <x:v>isi:ST01:16</x:v>
      </x:c>
      <x:c r="C113" s="48" t="str">
        <x:v>OFFICIAL_WEBSITE</x:v>
      </x:c>
      <x:c r="D113" s="48" t="str">
        <x:v>OFFICIAL_WEBSITE_ROOT</x:v>
      </x:c>
      <x:c r="E113" s="48" t="str">
        <x:v>http://lfseoul.org</x:v>
      </x:c>
      <x:c r="F113" s="48" t="str">
        <x:v>lfseoul.org</x:v>
      </x:c>
      <x:c r="G113" s="48" t="str">
        <x:v>OFFICIAL_CANDIDATE_FROM_REGISTRY</x:v>
      </x:c>
      <x:c r="H113" s="48" t="str">
        <x:v>SEEDED</x:v>
      </x:c>
      <x:c r="I113" s="48" t="str">
        <x:v>WEEKLY</x:v>
      </x:c>
      <x:c r="J113" s="48" t="str">
        <x:v>NOT_CHECKED</x:v>
      </x:c>
      <x:c r="K113" s="48" t="str">
        <x:v>2026-08-27</x:v>
      </x:c>
      <x:c r="L113" s="50" t="str">
        <x:v>Registry listing does not prove current reachability; collector must verify redirects, status, content type, and scope.</x:v>
      </x:c>
    </x:row>
    <x:row r="114">
      <x:c r="A114" s="83" t="str">
        <x:v>isi:ST01:6:registry</x:v>
      </x:c>
      <x:c r="B114" s="48" t="str">
        <x:v>isi:ST01:6</x:v>
      </x:c>
      <x:c r="C114" s="48" t="str">
        <x:v>OFFICIAL_REGISTRY</x:v>
      </x:c>
      <x:c r="D114" s="48" t="str">
        <x:v>REGISTRY_IDENTITY</x:v>
      </x:c>
      <x:c r="E114" s="48" t="str">
        <x:v>https://www.isi.go.kr/schl/info/SinfoView.do?schoolId=6&amp;schoolType=ST01</x:v>
      </x:c>
      <x:c r="F114" s="48" t="str">
        <x:v>isi.go.kr</x:v>
      </x:c>
      <x:c r="G114" s="48" t="str">
        <x:v>OFFICIAL</x:v>
      </x:c>
      <x:c r="H114" s="48" t="str">
        <x:v>SEEDED</x:v>
      </x:c>
      <x:c r="I114" s="48" t="str">
        <x:v>MONTHLY</x:v>
      </x:c>
      <x:c r="J114" s="48" t="str">
        <x:v>NOT_CHECKED_BY_IMPORTER</x:v>
      </x:c>
      <x:c r="K114" s="48" t="str">
        <x:v>2026-08-27</x:v>
      </x:c>
      <x:c r="L114" s="50" t="str"/>
    </x:row>
    <x:row r="115">
      <x:c r="A115" s="83" t="str">
        <x:v>isi:ST01:6:website-root</x:v>
      </x:c>
      <x:c r="B115" s="48" t="str">
        <x:v>isi:ST01:6</x:v>
      </x:c>
      <x:c r="C115" s="48" t="str">
        <x:v>OFFICIAL_WEBSITE</x:v>
      </x:c>
      <x:c r="D115" s="48" t="str">
        <x:v>OFFICIAL_WEBSITE_ROOT</x:v>
      </x:c>
      <x:c r="E115" s="48" t="str">
        <x:v>http://koreaforeign.org</x:v>
      </x:c>
      <x:c r="F115" s="48" t="str">
        <x:v>koreaforeign.org</x:v>
      </x:c>
      <x:c r="G115" s="48" t="str">
        <x:v>OFFICIAL_CANDIDATE_FROM_REGISTRY</x:v>
      </x:c>
      <x:c r="H115" s="48" t="str">
        <x:v>SEEDED</x:v>
      </x:c>
      <x:c r="I115" s="48" t="str">
        <x:v>WEEKLY</x:v>
      </x:c>
      <x:c r="J115" s="48" t="str">
        <x:v>NOT_CHECKED</x:v>
      </x:c>
      <x:c r="K115" s="48" t="str">
        <x:v>2026-08-27</x:v>
      </x:c>
      <x:c r="L115" s="50" t="str">
        <x:v>Registry listing does not prove current reachability; collector must verify redirects, status, content type, and scope.</x:v>
      </x:c>
    </x:row>
    <x:row r="116">
      <x:c r="A116" s="83" t="str">
        <x:v>isi:ST01:13:registry</x:v>
      </x:c>
      <x:c r="B116" s="48" t="str">
        <x:v>isi:ST01:13</x:v>
      </x:c>
      <x:c r="C116" s="48" t="str">
        <x:v>OFFICIAL_REGISTRY</x:v>
      </x:c>
      <x:c r="D116" s="48" t="str">
        <x:v>REGISTRY_IDENTITY</x:v>
      </x:c>
      <x:c r="E116" s="48" t="str">
        <x:v>https://www.isi.go.kr/schl/info/SinfoView.do?schoolId=13&amp;schoolType=ST01</x:v>
      </x:c>
      <x:c r="F116" s="48" t="str">
        <x:v>isi.go.kr</x:v>
      </x:c>
      <x:c r="G116" s="48" t="str">
        <x:v>OFFICIAL</x:v>
      </x:c>
      <x:c r="H116" s="48" t="str">
        <x:v>SEEDED</x:v>
      </x:c>
      <x:c r="I116" s="48" t="str">
        <x:v>MONTHLY</x:v>
      </x:c>
      <x:c r="J116" s="48" t="str">
        <x:v>NOT_CHECKED_BY_IMPORTER</x:v>
      </x:c>
      <x:c r="K116" s="48" t="str">
        <x:v>2026-08-27</x:v>
      </x:c>
      <x:c r="L116" s="50" t="str"/>
    </x:row>
    <x:row r="117">
      <x:c r="A117" s="83" t="str">
        <x:v>isi:ST01:13:website-root</x:v>
      </x:c>
      <x:c r="B117" s="48" t="str">
        <x:v>isi:ST01:13</x:v>
      </x:c>
      <x:c r="C117" s="48" t="str">
        <x:v>OFFICIAL_WEBSITE</x:v>
      </x:c>
      <x:c r="D117" s="48" t="str">
        <x:v>OFFICIAL_WEBSITE_ROOT</x:v>
      </x:c>
      <x:c r="E117" s="48" t="str">
        <x:v>http://yongxiao.kr</x:v>
      </x:c>
      <x:c r="F117" s="48" t="str">
        <x:v>yongxiao.kr</x:v>
      </x:c>
      <x:c r="G117" s="48" t="str">
        <x:v>OFFICIAL_CANDIDATE_FROM_REGISTRY</x:v>
      </x:c>
      <x:c r="H117" s="48" t="str">
        <x:v>SEEDED</x:v>
      </x:c>
      <x:c r="I117" s="48" t="str">
        <x:v>WEEKLY</x:v>
      </x:c>
      <x:c r="J117" s="48" t="str">
        <x:v>NOT_CHECKED</x:v>
      </x:c>
      <x:c r="K117" s="48" t="str">
        <x:v>2026-08-27</x:v>
      </x:c>
      <x:c r="L117" s="50" t="str">
        <x:v>Registry listing does not prove current reachability; collector must verify redirects, status, content type, and scope.</x:v>
      </x:c>
    </x:row>
    <x:row r="118">
      <x:c r="A118" s="83" t="str">
        <x:v>isi:ST01:19:registry</x:v>
      </x:c>
      <x:c r="B118" s="48" t="str">
        <x:v>isi:ST01:19</x:v>
      </x:c>
      <x:c r="C118" s="48" t="str">
        <x:v>OFFICIAL_REGISTRY</x:v>
      </x:c>
      <x:c r="D118" s="48" t="str">
        <x:v>REGISTRY_IDENTITY</x:v>
      </x:c>
      <x:c r="E118" s="48" t="str">
        <x:v>https://www.isi.go.kr/schl/info/SinfoView.do?schoolId=19&amp;schoolType=ST01</x:v>
      </x:c>
      <x:c r="F118" s="48" t="str">
        <x:v>isi.go.kr</x:v>
      </x:c>
      <x:c r="G118" s="48" t="str">
        <x:v>OFFICIAL</x:v>
      </x:c>
      <x:c r="H118" s="48" t="str">
        <x:v>SEEDED</x:v>
      </x:c>
      <x:c r="I118" s="48" t="str">
        <x:v>MONTHLY</x:v>
      </x:c>
      <x:c r="J118" s="48" t="str">
        <x:v>NOT_CHECKED_BY_IMPORTER</x:v>
      </x:c>
      <x:c r="K118" s="48" t="str">
        <x:v>2026-08-27</x:v>
      </x:c>
      <x:c r="L118" s="50" t="str"/>
    </x:row>
    <x:row r="119">
      <x:c r="A119" s="83" t="str">
        <x:v>isi:ST01:19:website-root</x:v>
      </x:c>
      <x:c r="B119" s="48" t="str">
        <x:v>isi:ST01:19</x:v>
      </x:c>
      <x:c r="C119" s="48" t="str">
        <x:v>OFFICIAL_WEBSITE</x:v>
      </x:c>
      <x:c r="D119" s="48" t="str">
        <x:v>OFFICIAL_WEBSITE_ROOT</x:v>
      </x:c>
      <x:c r="E119" s="48" t="str">
        <x:v>http://www.dsseoul.org</x:v>
      </x:c>
      <x:c r="F119" s="48" t="str">
        <x:v>dsseoul.org</x:v>
      </x:c>
      <x:c r="G119" s="48" t="str">
        <x:v>OFFICIAL_CANDIDATE_FROM_REGISTRY</x:v>
      </x:c>
      <x:c r="H119" s="48" t="str">
        <x:v>SEEDED</x:v>
      </x:c>
      <x:c r="I119" s="48" t="str">
        <x:v>WEEKLY</x:v>
      </x:c>
      <x:c r="J119" s="48" t="str">
        <x:v>NOT_CHECKED</x:v>
      </x:c>
      <x:c r="K119" s="48" t="str">
        <x:v>2026-08-27</x:v>
      </x:c>
      <x:c r="L119" s="50" t="str">
        <x:v>Registry listing does not prove current reachability; collector must verify redirects, status, content type, and scope.</x:v>
      </x:c>
    </x:row>
    <x:row r="120">
      <x:c r="A120" s="83" t="str">
        <x:v>isi:ST01:10:registry</x:v>
      </x:c>
      <x:c r="B120" s="48" t="str">
        <x:v>isi:ST01:10</x:v>
      </x:c>
      <x:c r="C120" s="48" t="str">
        <x:v>OFFICIAL_REGISTRY</x:v>
      </x:c>
      <x:c r="D120" s="48" t="str">
        <x:v>REGISTRY_IDENTITY</x:v>
      </x:c>
      <x:c r="E120" s="48" t="str">
        <x:v>https://www.isi.go.kr/schl/info/SinfoView.do?schoolId=10&amp;schoolType=ST01</x:v>
      </x:c>
      <x:c r="F120" s="48" t="str">
        <x:v>isi.go.kr</x:v>
      </x:c>
      <x:c r="G120" s="48" t="str">
        <x:v>OFFICIAL</x:v>
      </x:c>
      <x:c r="H120" s="48" t="str">
        <x:v>SEEDED</x:v>
      </x:c>
      <x:c r="I120" s="48" t="str">
        <x:v>MONTHLY</x:v>
      </x:c>
      <x:c r="J120" s="48" t="str">
        <x:v>NOT_CHECKED_BY_IMPORTER</x:v>
      </x:c>
      <x:c r="K120" s="48" t="str">
        <x:v>2026-08-27</x:v>
      </x:c>
      <x:c r="L120" s="50" t="str"/>
    </x:row>
    <x:row r="121">
      <x:c r="A121" s="83" t="str">
        <x:v>isi:ST01:10:website-root</x:v>
      </x:c>
      <x:c r="B121" s="48" t="str">
        <x:v>isi:ST01:10</x:v>
      </x:c>
      <x:c r="C121" s="48" t="str">
        <x:v>OFFICIAL_WEBSITE</x:v>
      </x:c>
      <x:c r="D121" s="48" t="str">
        <x:v>OFFICIAL_WEBSITE_ROOT</x:v>
      </x:c>
      <x:c r="E121" s="48" t="str">
        <x:v>http://www.yisseoul.org</x:v>
      </x:c>
      <x:c r="F121" s="48" t="str">
        <x:v>yisseoul.org</x:v>
      </x:c>
      <x:c r="G121" s="48" t="str">
        <x:v>OFFICIAL_CANDIDATE_FROM_REGISTRY</x:v>
      </x:c>
      <x:c r="H121" s="48" t="str">
        <x:v>SEEDED</x:v>
      </x:c>
      <x:c r="I121" s="48" t="str">
        <x:v>WEEKLY</x:v>
      </x:c>
      <x:c r="J121" s="48" t="str">
        <x:v>NOT_CHECKED</x:v>
      </x:c>
      <x:c r="K121" s="48" t="str">
        <x:v>2026-08-27</x:v>
      </x:c>
      <x:c r="L121" s="50" t="str">
        <x:v>Registry listing does not prove current reachability; collector must verify redirects, status, content type, and scope.</x:v>
      </x:c>
    </x:row>
    <x:row r="122">
      <x:c r="A122" s="83" t="str">
        <x:v>isi:ST01:8:registry</x:v>
      </x:c>
      <x:c r="B122" s="48" t="str">
        <x:v>isi:ST01:8</x:v>
      </x:c>
      <x:c r="C122" s="48" t="str">
        <x:v>OFFICIAL_REGISTRY</x:v>
      </x:c>
      <x:c r="D122" s="48" t="str">
        <x:v>REGISTRY_IDENTITY</x:v>
      </x:c>
      <x:c r="E122" s="48" t="str">
        <x:v>https://www.isi.go.kr/schl/info/SinfoView.do?schoolId=8&amp;schoolType=ST01</x:v>
      </x:c>
      <x:c r="F122" s="48" t="str">
        <x:v>isi.go.kr</x:v>
      </x:c>
      <x:c r="G122" s="48" t="str">
        <x:v>OFFICIAL</x:v>
      </x:c>
      <x:c r="H122" s="48" t="str">
        <x:v>SEEDED</x:v>
      </x:c>
      <x:c r="I122" s="48" t="str">
        <x:v>MONTHLY</x:v>
      </x:c>
      <x:c r="J122" s="48" t="str">
        <x:v>NOT_CHECKED_BY_IMPORTER</x:v>
      </x:c>
      <x:c r="K122" s="48" t="str">
        <x:v>2026-08-27</x:v>
      </x:c>
      <x:c r="L122" s="50" t="str"/>
    </x:row>
    <x:row r="123">
      <x:c r="A123" s="83" t="str">
        <x:v>isi:ST01:8:website-root</x:v>
      </x:c>
      <x:c r="B123" s="48" t="str">
        <x:v>isi:ST01:8</x:v>
      </x:c>
      <x:c r="C123" s="48" t="str">
        <x:v>OFFICIAL_WEBSITE</x:v>
      </x:c>
      <x:c r="D123" s="48" t="str">
        <x:v>OFFICIAL_WEBSITE_ROOT</x:v>
      </x:c>
      <x:c r="E123" s="48" t="str">
        <x:v>http://www.gcfskorea.org</x:v>
      </x:c>
      <x:c r="F123" s="48" t="str">
        <x:v>gcfskorea.org</x:v>
      </x:c>
      <x:c r="G123" s="48" t="str">
        <x:v>OFFICIAL_CANDIDATE_FROM_REGISTRY</x:v>
      </x:c>
      <x:c r="H123" s="48" t="str">
        <x:v>SEEDED</x:v>
      </x:c>
      <x:c r="I123" s="48" t="str">
        <x:v>WEEKLY</x:v>
      </x:c>
      <x:c r="J123" s="48" t="str">
        <x:v>NOT_CHECKED</x:v>
      </x:c>
      <x:c r="K123" s="48" t="str">
        <x:v>2026-08-27</x:v>
      </x:c>
      <x:c r="L123" s="50" t="str">
        <x:v>Registry listing does not prove current reachability; collector must verify redirects, status, content type, and scope.</x:v>
      </x:c>
    </x:row>
    <x:row r="124">
      <x:c r="A124" s="83" t="str">
        <x:v>isi:ST01:17:registry</x:v>
      </x:c>
      <x:c r="B124" s="48" t="str">
        <x:v>isi:ST01:17</x:v>
      </x:c>
      <x:c r="C124" s="48" t="str">
        <x:v>OFFICIAL_REGISTRY</x:v>
      </x:c>
      <x:c r="D124" s="48" t="str">
        <x:v>REGISTRY_IDENTITY</x:v>
      </x:c>
      <x:c r="E124" s="48" t="str">
        <x:v>https://www.isi.go.kr/schl/info/SinfoView.do?schoolId=17&amp;schoolType=ST01</x:v>
      </x:c>
      <x:c r="F124" s="48" t="str">
        <x:v>isi.go.kr</x:v>
      </x:c>
      <x:c r="G124" s="48" t="str">
        <x:v>OFFICIAL</x:v>
      </x:c>
      <x:c r="H124" s="48" t="str">
        <x:v>SEEDED</x:v>
      </x:c>
      <x:c r="I124" s="48" t="str">
        <x:v>MONTHLY</x:v>
      </x:c>
      <x:c r="J124" s="48" t="str">
        <x:v>NOT_CHECKED_BY_IMPORTER</x:v>
      </x:c>
      <x:c r="K124" s="48" t="str">
        <x:v>2026-08-27</x:v>
      </x:c>
      <x:c r="L124" s="50" t="str"/>
    </x:row>
    <x:row r="125">
      <x:c r="A125" s="83" t="str">
        <x:v>isi:ST01:17:website-root</x:v>
      </x:c>
      <x:c r="B125" s="48" t="str">
        <x:v>isi:ST01:17</x:v>
      </x:c>
      <x:c r="C125" s="48" t="str">
        <x:v>OFFICIAL_WEBSITE</x:v>
      </x:c>
      <x:c r="D125" s="48" t="str">
        <x:v>OFFICIAL_WEBSITE_ROOT</x:v>
      </x:c>
      <x:c r="E125" s="48" t="str">
        <x:v>http://www.xavier.sc.kr</x:v>
      </x:c>
      <x:c r="F125" s="48" t="str">
        <x:v>xavier.sc.kr</x:v>
      </x:c>
      <x:c r="G125" s="48" t="str">
        <x:v>OFFICIAL_CANDIDATE_FROM_REGISTRY</x:v>
      </x:c>
      <x:c r="H125" s="48" t="str">
        <x:v>SEEDED</x:v>
      </x:c>
      <x:c r="I125" s="48" t="str">
        <x:v>WEEKLY</x:v>
      </x:c>
      <x:c r="J125" s="48" t="str">
        <x:v>NOT_CHECKED</x:v>
      </x:c>
      <x:c r="K125" s="48" t="str">
        <x:v>2026-08-27</x:v>
      </x:c>
      <x:c r="L125" s="50" t="str">
        <x:v>Registry listing does not prove current reachability; collector must verify redirects, status, content type, and scope.</x:v>
      </x:c>
    </x:row>
    <x:row r="126">
      <x:c r="A126" s="83" t="str">
        <x:v>isi:ST01:15:registry</x:v>
      </x:c>
      <x:c r="B126" s="48" t="str">
        <x:v>isi:ST01:15</x:v>
      </x:c>
      <x:c r="C126" s="48" t="str">
        <x:v>OFFICIAL_REGISTRY</x:v>
      </x:c>
      <x:c r="D126" s="48" t="str">
        <x:v>REGISTRY_IDENTITY</x:v>
      </x:c>
      <x:c r="E126" s="48" t="str">
        <x:v>https://www.isi.go.kr/schl/info/SinfoView.do?schoolId=15&amp;schoolType=ST01</x:v>
      </x:c>
      <x:c r="F126" s="48" t="str">
        <x:v>isi.go.kr</x:v>
      </x:c>
      <x:c r="G126" s="48" t="str">
        <x:v>OFFICIAL</x:v>
      </x:c>
      <x:c r="H126" s="48" t="str">
        <x:v>SEEDED</x:v>
      </x:c>
      <x:c r="I126" s="48" t="str">
        <x:v>MONTHLY</x:v>
      </x:c>
      <x:c r="J126" s="48" t="str">
        <x:v>NOT_CHECKED_BY_IMPORTER</x:v>
      </x:c>
      <x:c r="K126" s="48" t="str">
        <x:v>2026-08-27</x:v>
      </x:c>
      <x:c r="L126" s="50" t="str"/>
    </x:row>
    <x:row r="127">
      <x:c r="A127" s="85" t="str">
        <x:v>isi:ST01:15:website-root</x:v>
      </x:c>
      <x:c r="B127" s="52" t="str">
        <x:v>isi:ST01:15</x:v>
      </x:c>
      <x:c r="C127" s="52" t="str">
        <x:v>OFFICIAL_WEBSITE</x:v>
      </x:c>
      <x:c r="D127" s="52" t="str">
        <x:v>OFFICIAL_WEBSITE_ROOT</x:v>
      </x:c>
      <x:c r="E127" s="52" t="str">
        <x:v>http://www.hanxiao.or.kr</x:v>
      </x:c>
      <x:c r="F127" s="52" t="str">
        <x:v>hanxiao.or.kr</x:v>
      </x:c>
      <x:c r="G127" s="52" t="str">
        <x:v>OFFICIAL_CANDIDATE_FROM_REGISTRY</x:v>
      </x:c>
      <x:c r="H127" s="52" t="str">
        <x:v>SEEDED</x:v>
      </x:c>
      <x:c r="I127" s="52" t="str">
        <x:v>WEEKLY</x:v>
      </x:c>
      <x:c r="J127" s="52" t="str">
        <x:v>NOT_CHECKED</x:v>
      </x:c>
      <x:c r="K127" s="52" t="str">
        <x:v>2026-08-27</x:v>
      </x:c>
      <x:c r="L127" s="53" t="str">
        <x:v>Registry listing does not prove current reachability; collector must verify redirects, status, content type, and scope.</x:v>
      </x:c>
    </x:row>
  </x:sheetData>
  <x:conditionalFormatting sqref="J2:J127">
    <x:cfRule type="expression" dxfId="5" priority="1">
      <x:formula>ISNUMBER(SEARCH("NOT_CHECKED",J2))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8405afb1194a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40" hidden="0" customWidth="1"/>
    <x:col min="5" max="5" width="14" hidden="0" customWidth="1"/>
    <x:col min="6" max="6" width="18" hidden="0" customWidth="1"/>
    <x:col min="7" max="7" width="42" hidden="0" customWidth="1"/>
    <x:col min="8" max="8" width="22" hidden="0" customWidth="1"/>
    <x:col min="9" max="9" width="36" hidden="0" customWidth="1"/>
    <x:col min="10" max="10" width="58" hidden="0" customWidth="1"/>
    <x:col min="11" max="11" width="26" hidden="0" customWidth="1"/>
    <x:col min="12" max="12" width="16" hidden="0" customWidth="1"/>
  </x:cols>
  <x:sheetData>
    <x:row r="1">
      <x:c r="A1" s="14" t="str">
        <x:v>registry</x:v>
      </x:c>
      <x:c r="B1" s="14" t="str">
        <x:v>registry_external_id</x:v>
      </x:c>
      <x:c r="C1" s="14" t="str">
        <x:v>canonical_name_ko</x:v>
      </x:c>
      <x:c r="D1" s="14" t="str">
        <x:v>canonical_name_en</x:v>
      </x:c>
      <x:c r="E1" s="14" t="str">
        <x:v>province</x:v>
      </x:c>
      <x:c r="F1" s="14" t="str">
        <x:v>city_district</x:v>
      </x:c>
      <x:c r="G1" s="14" t="str">
        <x:v>address</x:v>
      </x:c>
      <x:c r="H1" s="14" t="str">
        <x:v>grade_range_raw</x:v>
      </x:c>
      <x:c r="I1" s="14" t="str">
        <x:v>official_website_url</x:v>
      </x:c>
      <x:c r="J1" s="14" t="str">
        <x:v>registry_record_url</x:v>
      </x:c>
      <x:c r="K1" s="14" t="str">
        <x:v>exclusion_reason</x:v>
      </x:c>
      <x:c r="L1" s="14" t="str">
        <x:v>verified_at</x:v>
      </x:c>
    </x:row>
    <x:row r="2">
      <x:c r="A2" s="80" t="str">
        <x:v>ISI</x:v>
      </x:c>
      <x:c r="B2" s="81" t="str">
        <x:v>ST04:11</x:v>
      </x:c>
      <x:c r="C2" s="81" t="str">
        <x:v>프란치스코 외국인 유치원</x:v>
      </x:c>
      <x:c r="D2" s="81" t="str">
        <x:v>Franciscan Foreign Kindergarten</x:v>
      </x:c>
      <x:c r="E2" s="81" t="str">
        <x:v>서울특별시</x:v>
      </x:c>
      <x:c r="F2" s="81" t="str">
        <x:v>용산구</x:v>
      </x:c>
      <x:c r="G2" s="81" t="str">
        <x:v>서울특별시 용산구 한남대로 90</x:v>
      </x:c>
      <x:c r="H2" s="81" t="str">
        <x:v>유치원</x:v>
      </x:c>
      <x:c r="I2" s="81" t="str">
        <x:v>http://www.ffkseoul.com</x:v>
      </x:c>
      <x:c r="J2" s="81" t="str">
        <x:v>https://www.isi.go.kr/schl/info/SinfoView.do?schoolId=11&amp;schoolType=ST04</x:v>
      </x:c>
      <x:c r="K2" s="81" t="str">
        <x:v>KINDERGARTEN_ONLY</x:v>
      </x:c>
      <x:c r="L2" s="55" t="str">
        <x:v>2026-08-27</x:v>
      </x:c>
    </x:row>
    <x:row r="3">
      <x:c r="A3" s="83" t="str">
        <x:v>ISI</x:v>
      </x:c>
      <x:c r="B3" s="48" t="str">
        <x:v>ST04:12</x:v>
      </x:c>
      <x:c r="C3" s="48" t="str">
        <x:v>남산국제유치원</x:v>
      </x:c>
      <x:c r="D3" s="48" t="str">
        <x:v>Namsan International Kindergarten</x:v>
      </x:c>
      <x:c r="E3" s="48" t="str">
        <x:v>서울특별시</x:v>
      </x:c>
      <x:c r="F3" s="48" t="str">
        <x:v>중구</x:v>
      </x:c>
      <x:c r="G3" s="48" t="str">
        <x:v>서울특별시 중구 다산로8길 8-6</x:v>
      </x:c>
      <x:c r="H3" s="48" t="str">
        <x:v>유치원</x:v>
      </x:c>
      <x:c r="I3" s="48" t="str">
        <x:v>http://www.nikseoul.org</x:v>
      </x:c>
      <x:c r="J3" s="48" t="str">
        <x:v>https://www.isi.go.kr/schl/info/SinfoView.do?schoolId=12&amp;schoolType=ST04</x:v>
      </x:c>
      <x:c r="K3" s="48" t="str">
        <x:v>KINDERGARTEN_ONLY</x:v>
      </x:c>
      <x:c r="L3" s="50" t="str">
        <x:v>2026-08-27</x:v>
      </x:c>
    </x:row>
    <x:row r="4">
      <x:c r="A4" s="85" t="str">
        <x:v>ISI</x:v>
      </x:c>
      <x:c r="B4" s="52" t="str">
        <x:v>ST01:14</x:v>
      </x:c>
      <x:c r="C4" s="52" t="str">
        <x:v>한국한성화교중고등학교</x:v>
      </x:c>
      <x:c r="D4" s="52" t="str">
        <x:v>Overseas Chinese High School Seoul,KOREA</x:v>
      </x:c>
      <x:c r="E4" s="52" t="str">
        <x:v>서울특별시</x:v>
      </x:c>
      <x:c r="F4" s="52" t="str">
        <x:v>서대문구</x:v>
      </x:c>
      <x:c r="G4" s="52" t="str">
        <x:v>서울특별시 서대문구 연희로 176 (연희동)</x:v>
      </x:c>
      <x:c r="H4" s="52" t="str">
        <x:v>중학교,고등학교</x:v>
      </x:c>
      <x:c r="I4" s="52" t="str">
        <x:v>http://www.scs.or.kr</x:v>
      </x:c>
      <x:c r="J4" s="52" t="str">
        <x:v>https://www.isi.go.kr/schl/info/SinfoView.do?schoolId=14&amp;schoolType=ST01</x:v>
      </x:c>
      <x:c r="K4" s="52" t="str">
        <x:v>NO_ELEMENTARY_COURSE</x:v>
      </x:c>
      <x:c r="L4" s="53" t="str">
        <x:v>2026-08-27</x:v>
      </x:c>
    </x:row>
  </x:sheetData>
  <x:pageMargins left="0.7" right="0.7" top="0.75" bottom="0.75" header="0.3" footer="0.3"/>
  <x:tableParts count="1">
    <x:tablePart xmlns:r="http://schemas.openxmlformats.org/officeDocument/2006/relationships" r:id="R9b3854d9dfd54f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14" hidden="0" customWidth="1"/>
    <x:col min="5" max="5" width="42" hidden="0" customWidth="1"/>
  </x:cols>
  <x:sheetData>
    <x:row r="1">
      <x:c r="A1" s="5" t="str">
        <x:v>PREPPY Seed QA</x:v>
      </x:c>
      <x:c r="B1" s="5"/>
      <x:c r="C1" s="5"/>
      <x:c r="D1" s="5"/>
      <x:c r="E1" s="5"/>
    </x:row>
    <x:row r="3">
      <x:c r="A3" s="26" t="str">
        <x:v>Check</x:v>
      </x:c>
      <x:c r="B3" s="38" t="str">
        <x:v>Expected</x:v>
      </x:c>
      <x:c r="C3" s="38" t="str">
        <x:v>Formula / Actual</x:v>
      </x:c>
      <x:c r="D3" s="38" t="str">
        <x:v>Status</x:v>
      </x:c>
      <x:c r="E3" s="27" t="str">
        <x:v>Notes</x:v>
      </x:c>
    </x:row>
    <x:row r="4">
      <x:c r="A4" s="49" t="str">
        <x:v>Institution total</x:v>
      </x:c>
      <x:c r="B4" s="48" t="n">
        <x:v>63</x:v>
      </x:c>
      <x:c r="C4" s="48" t="n">
        <x:f>COUNTA(Institutions!A2:A64)</x:f>
        <x:v>63</x:v>
      </x:c>
      <x:c r="D4" s="48" t="str">
        <x:f>IF(B4=C4,"PASS","FAIL")</x:f>
        <x:v>PASS</x:v>
      </x:c>
      <x:c r="E4" s="50" t="str">
        <x:v>Hard stop</x:v>
      </x:c>
    </x:row>
    <x:row r="5">
      <x:c r="A5" s="49" t="str">
        <x:v>Private elementary</x:v>
      </x:c>
      <x:c r="B5" s="48" t="n">
        <x:v>41</x:v>
      </x:c>
      <x:c r="C5" s="48" t="n">
        <x:f>COUNTIF(Institutions!H2:H64,"PRIVATE_ELEMENTARY")</x:f>
        <x:v>41</x:v>
      </x:c>
      <x:c r="D5" s="48" t="str">
        <x:f>IF(B5=C5,"PASS","FAIL")</x:f>
        <x:v>PASS</x:v>
      </x:c>
      <x:c r="E5" s="50" t="str">
        <x:v>Hard stop</x:v>
      </x:c>
    </x:row>
    <x:row r="6">
      <x:c r="A6" s="49" t="str">
        <x:v>International school</x:v>
      </x:c>
      <x:c r="B6" s="48" t="n">
        <x:v>22</x:v>
      </x:c>
      <x:c r="C6" s="48" t="n">
        <x:f>COUNTIF(Institutions!H2:H64,"INTERNATIONAL_SCHOOL")</x:f>
        <x:v>22</x:v>
      </x:c>
      <x:c r="D6" s="48" t="str">
        <x:f>IF(B6=C6,"PASS","FAIL")</x:f>
        <x:v>PASS</x:v>
      </x:c>
      <x:c r="E6" s="50" t="str">
        <x:v>Hard stop</x:v>
      </x:c>
    </x:row>
    <x:row r="7">
      <x:c r="A7" s="49" t="str">
        <x:v>Seoul</x:v>
      </x:c>
      <x:c r="B7" s="48" t="n">
        <x:v>54</x:v>
      </x:c>
      <x:c r="C7" s="48" t="n">
        <x:f>COUNTIF(Institutions!J2:J64,"서울특별시")</x:f>
        <x:v>54</x:v>
      </x:c>
      <x:c r="D7" s="48" t="str">
        <x:f>IF(B7=C7,"PASS","FAIL")</x:f>
        <x:v>PASS</x:v>
      </x:c>
      <x:c r="E7" s="50" t="str">
        <x:v>Hard stop</x:v>
      </x:c>
    </x:row>
    <x:row r="8">
      <x:c r="A8" s="49" t="str">
        <x:v>Gyeonggi</x:v>
      </x:c>
      <x:c r="B8" s="48" t="n">
        <x:v>9</x:v>
      </x:c>
      <x:c r="C8" s="48" t="n">
        <x:f>COUNTIF(Institutions!J2:J64,"경기도")</x:f>
        <x:v>9</x:v>
      </x:c>
      <x:c r="D8" s="48" t="str">
        <x:f>IF(B8=C8,"PASS","FAIL")</x:f>
        <x:v>PASS</x:v>
      </x:c>
      <x:c r="E8" s="50" t="str">
        <x:v>Hard stop</x:v>
      </x:c>
    </x:row>
    <x:row r="9">
      <x:c r="A9" s="49" t="str">
        <x:v>Source rows</x:v>
      </x:c>
      <x:c r="B9" s="48" t="n">
        <x:v>126</x:v>
      </x:c>
      <x:c r="C9" s="48" t="n">
        <x:f>COUNTA(Sources!A2:A127)</x:f>
        <x:v>126</x:v>
      </x:c>
      <x:c r="D9" s="48" t="str">
        <x:f>IF(B9=C9,"PASS","FAIL")</x:f>
        <x:v>PASS</x:v>
      </x:c>
      <x:c r="E9" s="50" t="str">
        <x:v>Exactly two per Institution</x:v>
      </x:c>
    </x:row>
    <x:row r="10">
      <x:c r="A10" s="49" t="str">
        <x:v>Excluded rows</x:v>
      </x:c>
      <x:c r="B10" s="48" t="n">
        <x:v>3</x:v>
      </x:c>
      <x:c r="C10" s="48" t="n">
        <x:f>COUNTA(Excluded!A2:A4)</x:f>
        <x:v>3</x:v>
      </x:c>
      <x:c r="D10" s="48" t="str">
        <x:f>IF(B10=C10,"PASS","FAIL")</x:f>
        <x:v>PASS</x:v>
      </x:c>
      <x:c r="E10" s="50" t="str">
        <x:v>Expected official exclusions</x:v>
      </x:c>
    </x:row>
    <x:row r="11">
      <x:c r="A11" s="49" t="str">
        <x:v>Missing normalized website</x:v>
      </x:c>
      <x:c r="B11" s="48" t="n">
        <x:v>0</x:v>
      </x:c>
      <x:c r="C11" s="48" t="n">
        <x:f>COUNTBLANK(Institutions!U2:U64)</x:f>
        <x:v>0</x:v>
      </x:c>
      <x:c r="D11" s="48" t="str">
        <x:f>IF(B11=C11,"PASS","FAIL")</x:f>
        <x:v>PASS</x:v>
      </x:c>
      <x:c r="E11" s="50" t="str">
        <x:v>Hard stop</x:v>
      </x:c>
    </x:row>
    <x:row r="12">
      <x:c r="A12" s="49" t="str">
        <x:v>Pending SchoolInfo record IDs</x:v>
      </x:c>
      <x:c r="B12" s="48" t="n">
        <x:v>6</x:v>
      </x:c>
      <x:c r="C12" s="48" t="n">
        <x:f>COUNTIF(Institutions!Y2:Y64,"PENDING")</x:f>
        <x:v>6</x:v>
      </x:c>
      <x:c r="D12" s="48" t="str">
        <x:f>IF(B12=C12,"PASS","FAIL")</x:f>
        <x:v>PASS</x:v>
      </x:c>
      <x:c r="E12" s="50" t="str">
        <x:v>Resolve or skip on apply</x:v>
      </x:c>
    </x:row>
    <x:row r="13">
      <x:c r="A13" s="49" t="str">
        <x:v>Non-internal publication rows</x:v>
      </x:c>
      <x:c r="B13" s="48" t="n">
        <x:v>0</x:v>
      </x:c>
      <x:c r="C13" s="48" t="n">
        <x:f>COUNTIF(Institutions!AI2:AI64,"&lt;&gt;INTERNAL_ONLY")</x:f>
        <x:v>0</x:v>
      </x:c>
      <x:c r="D13" s="48" t="str">
        <x:f>IF(B13=C13,"PASS","FAIL")</x:f>
        <x:v>PASS</x:v>
      </x:c>
      <x:c r="E13" s="50" t="str">
        <x:v>No seed auto-publication</x:v>
      </x:c>
    </x:row>
    <x:row r="14">
      <x:c r="A14" s="51" t="str">
        <x:v>Non-not-started crawl rows</x:v>
      </x:c>
      <x:c r="B14" s="52" t="n">
        <x:v>0</x:v>
      </x:c>
      <x:c r="C14" s="52" t="n">
        <x:f>COUNTIF(Institutions!AG2:AG64,"&lt;&gt;NOT_STARTED")</x:f>
        <x:v>0</x:v>
      </x:c>
      <x:c r="D14" s="52" t="str">
        <x:f>IF(B14=C14,"PASS","FAIL")</x:f>
        <x:v>PASS</x:v>
      </x:c>
      <x:c r="E14" s="53" t="str">
        <x:v>No fabricated fetch state</x:v>
      </x:c>
    </x:row>
    <x:row r="17">
      <x:c r="A17" s="14" t="str">
        <x:v>Manual review queue</x:v>
      </x:c>
      <x:c r="B17" s="14"/>
      <x:c r="C17" s="14"/>
      <x:c r="D17" s="14"/>
      <x:c r="E17" s="14"/>
    </x:row>
    <x:row r="18">
      <x:c r="A18" s="54" t="str">
        <x:v>Pending record ID school</x:v>
      </x:c>
      <x:c r="B18" s="108" t="str">
        <x:v>Reason</x:v>
      </x:c>
    </x:row>
    <x:row r="19">
      <x:c r="A19" s="83" t="str">
        <x:v>유석초등학교</x:v>
      </x:c>
      <x:c r="B19" s="50" t="str">
        <x:v>Official SchoolInfo deep-link ID pending; do not guess.</x:v>
      </x:c>
    </x:row>
    <x:row r="20">
      <x:c r="A20" s="83" t="str">
        <x:v>상명초등학교</x:v>
      </x:c>
      <x:c r="B20" s="50" t="str">
        <x:v>Official SchoolInfo deep-link ID pending; do not guess.</x:v>
      </x:c>
    </x:row>
    <x:row r="21">
      <x:c r="A21" s="83" t="str">
        <x:v>청원초등학교</x:v>
      </x:c>
      <x:c r="B21" s="50" t="str">
        <x:v>Official SchoolInfo deep-link ID pending; do not guess.</x:v>
      </x:c>
    </x:row>
    <x:row r="22">
      <x:c r="A22" s="83" t="str">
        <x:v>중앙대학교사범대학부속초등학교</x:v>
      </x:c>
      <x:c r="B22" s="50" t="str">
        <x:v>Official SchoolInfo deep-link ID pending; do not guess.</x:v>
      </x:c>
    </x:row>
    <x:row r="23">
      <x:c r="A23" s="83" t="str">
        <x:v>신광초등학교</x:v>
      </x:c>
      <x:c r="B23" s="50" t="str">
        <x:v>Official SchoolInfo deep-link ID pending; do not guess.</x:v>
      </x:c>
    </x:row>
    <x:row r="24">
      <x:c r="A24" s="85" t="str">
        <x:v>리라초등학교</x:v>
      </x:c>
      <x:c r="B24" s="53" t="str">
        <x:v>Official SchoolInfo deep-link ID pending; do not guess.</x:v>
      </x:c>
    </x:row>
  </x:sheetData>
  <x:mergeCells>
    <x:mergeCell ref="A1:E1"/>
    <x:mergeCell ref="A17:E17"/>
  </x:mergeCells>
  <x:conditionalFormatting sqref="D4:D14">
    <x:cfRule type="expression" dxfId="6" priority="1">
      <x:formula>D4="PASS"</x:formula>
    </x:cfRule>
    <x:cfRule type="expression" dxfId="7" priority="2">
      <x:formula>D4="FAIL"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14" t="str">
        <x:v>institution_type</x:v>
      </x:c>
      <x:c r="B1" s="14" t="str">
        <x:v>legal_category</x:v>
      </x:c>
      <x:c r="C1" s="14" t="str">
        <x:v>slug_status</x:v>
      </x:c>
      <x:c r="D1" s="14" t="str">
        <x:v>registry_name</x:v>
      </x:c>
      <x:c r="E1" s="14" t="str">
        <x:v>registry_record_id_status</x:v>
      </x:c>
      <x:c r="F1" s="14" t="str">
        <x:v>operating_status</x:v>
      </x:c>
      <x:c r="G1" s="14" t="str">
        <x:v>publication_status</x:v>
      </x:c>
      <x:c r="H1" s="14" t="str">
        <x:v>crawl_status</x:v>
      </x:c>
      <x:c r="I1" s="14" t="str">
        <x:v>monitoring_priority</x:v>
      </x:c>
      <x:c r="J1" s="14" t="str">
        <x:v>monitoring_cadence</x:v>
      </x:c>
      <x:c r="K1" s="14" t="str">
        <x:v>source_role</x:v>
      </x:c>
    </x:row>
    <x:row r="2">
      <x:c r="A2" s="80" t="str">
        <x:v>PRIVATE_ELEMENTARY</x:v>
      </x:c>
      <x:c r="B2" s="81" t="str">
        <x:v>PRIVATE_ELEMENTARY_SCHOOL</x:v>
      </x:c>
      <x:c r="C2" s="81" t="str">
        <x:v>PROVISIONAL</x:v>
      </x:c>
      <x:c r="D2" s="81" t="str">
        <x:v>SCHOOLINFO</x:v>
      </x:c>
      <x:c r="E2" s="81" t="str">
        <x:v>RESOLVED</x:v>
      </x:c>
      <x:c r="F2" s="81" t="str">
        <x:v>ACTIVE</x:v>
      </x:c>
      <x:c r="G2" s="81" t="str">
        <x:v>INTERNAL_ONLY</x:v>
      </x:c>
      <x:c r="H2" s="81" t="str">
        <x:v>NOT_STARTED</x:v>
      </x:c>
      <x:c r="I2" s="81" t="str">
        <x:v>P0</x:v>
      </x:c>
      <x:c r="J2" s="81" t="str">
        <x:v>DAILY</x:v>
      </x:c>
      <x:c r="K2" s="55" t="str">
        <x:v>REGISTRY_IDENTITY</x:v>
      </x:c>
    </x:row>
    <x:row r="3">
      <x:c r="A3" s="83" t="str">
        <x:v>INTERNATIONAL_SCHOOL</x:v>
      </x:c>
      <x:c r="B3" s="48" t="str">
        <x:v>FOREIGN_SCHOOL</x:v>
      </x:c>
      <x:c r="C3" s="48" t="str">
        <x:v>APPROVED</x:v>
      </x:c>
      <x:c r="D3" s="48" t="str">
        <x:v>ISI</x:v>
      </x:c>
      <x:c r="E3" s="48" t="str">
        <x:v>PENDING</x:v>
      </x:c>
      <x:c r="F3" s="48" t="str">
        <x:v>CLOSED</x:v>
      </x:c>
      <x:c r="G3" s="48" t="str">
        <x:v>READY</x:v>
      </x:c>
      <x:c r="H3" s="48" t="str">
        <x:v>DISCOVERED</x:v>
      </x:c>
      <x:c r="I3" s="48" t="str">
        <x:v>P1</x:v>
      </x:c>
      <x:c r="J3" s="48" t="str">
        <x:v>EVERY_2_3_DAYS</x:v>
      </x:c>
      <x:c r="K3" s="50" t="str">
        <x:v>OFFICIAL_WEBSITE_ROOT</x:v>
      </x:c>
    </x:row>
    <x:row r="4">
      <x:c r="A4" s="83" t="str"/>
      <x:c r="B4" s="48" t="str"/>
      <x:c r="C4" s="48" t="str"/>
      <x:c r="D4" s="48" t="str"/>
      <x:c r="E4" s="48" t="str"/>
      <x:c r="F4" s="48" t="str">
        <x:v>UNKNOWN</x:v>
      </x:c>
      <x:c r="G4" s="48" t="str">
        <x:v>PUBLISHED</x:v>
      </x:c>
      <x:c r="H4" s="48" t="str">
        <x:v>FETCHABLE</x:v>
      </x:c>
      <x:c r="I4" s="48" t="str">
        <x:v>P2</x:v>
      </x:c>
      <x:c r="J4" s="48" t="str">
        <x:v>WEEKLY</x:v>
      </x:c>
      <x:c r="K4" s="50" t="str"/>
    </x:row>
    <x:row r="5">
      <x:c r="A5" s="83" t="str"/>
      <x:c r="B5" s="48" t="str"/>
      <x:c r="C5" s="48" t="str"/>
      <x:c r="D5" s="48" t="str"/>
      <x:c r="E5" s="48" t="str"/>
      <x:c r="F5" s="48" t="str"/>
      <x:c r="G5" s="48" t="str"/>
      <x:c r="H5" s="48" t="str">
        <x:v>BLOCKED</x:v>
      </x:c>
      <x:c r="I5" s="48" t="str"/>
      <x:c r="J5" s="48" t="str">
        <x:v>SEASONAL_WEEKLY</x:v>
      </x:c>
      <x:c r="K5" s="50" t="str"/>
    </x:row>
    <x:row r="6">
      <x:c r="A6" s="85" t="str"/>
      <x:c r="B6" s="52" t="str"/>
      <x:c r="C6" s="52" t="str"/>
      <x:c r="D6" s="52" t="str"/>
      <x:c r="E6" s="52" t="str"/>
      <x:c r="F6" s="52" t="str"/>
      <x:c r="G6" s="52" t="str"/>
      <x:c r="H6" s="52" t="str">
        <x:v>REVIEW_REQUIRED</x:v>
      </x:c>
      <x:c r="I6" s="52" t="str"/>
      <x:c r="J6" s="52" t="str">
        <x:v>MONTHLY</x:v>
      </x:c>
      <x:c r="K6" s="53" t="str"/>
    </x:row>
  </x:sheetData>
  <x:pageMargins left="0.7" right="0.7" top="0.75" bottom="0.75" header="0.3" footer="0.3"/>
</x:worksheet>
</file>